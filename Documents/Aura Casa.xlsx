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  <sheet state="visible" name="Clientes" sheetId="2" r:id="rId6"/>
    <sheet state="visible" name="Produtos" sheetId="3" r:id="rId7"/>
    <sheet state="visible" name="Resumo" sheetId="4" r:id="rId8"/>
    <sheet state="visible" name="Entradas" sheetId="5" r:id="rId9"/>
    <sheet state="visible" name="Financeiro" sheetId="6" r:id="rId10"/>
    <sheet state="visible" name="Financeiro2" sheetId="7" r:id="rId11"/>
    <sheet state="visible" name="Config" sheetId="8" r:id="rId12"/>
  </sheets>
  <definedNames>
    <definedName hidden="1" localSheetId="2" name="_xlnm._FilterDatabase">Produtos!$A$1:$Q$399</definedName>
    <definedName hidden="1" localSheetId="4" name="_xlnm._FilterDatabase">Entradas!$A$1:$F$1000</definedName>
    <definedName hidden="1" localSheetId="5" name="_xlnm._FilterDatabase">Financeiro!$A$3:$G$1002</definedName>
  </definedNames>
  <calcPr/>
</workbook>
</file>

<file path=xl/sharedStrings.xml><?xml version="1.0" encoding="utf-8"?>
<sst xmlns="http://schemas.openxmlformats.org/spreadsheetml/2006/main" count="587" uniqueCount="230">
  <si>
    <t>Data</t>
  </si>
  <si>
    <t>Cliente</t>
  </si>
  <si>
    <t>Produto</t>
  </si>
  <si>
    <t>Tamanho</t>
  </si>
  <si>
    <t>Quantidade</t>
  </si>
  <si>
    <t>Valor Unitário</t>
  </si>
  <si>
    <t>Total</t>
  </si>
  <si>
    <t>Custo Unitário</t>
  </si>
  <si>
    <t>Lucro</t>
  </si>
  <si>
    <t>Forma de Pagamento</t>
  </si>
  <si>
    <t>Status</t>
  </si>
  <si>
    <t>Valor Recebido</t>
  </si>
  <si>
    <t>Valor Pendente</t>
  </si>
  <si>
    <t>Nira</t>
  </si>
  <si>
    <t>02167 - Legging Preto</t>
  </si>
  <si>
    <t>GG</t>
  </si>
  <si>
    <t>Dinheiro</t>
  </si>
  <si>
    <t>02167 - Legging VD Safari</t>
  </si>
  <si>
    <t>Silvana</t>
  </si>
  <si>
    <t>G</t>
  </si>
  <si>
    <t>Tamy</t>
  </si>
  <si>
    <t>M</t>
  </si>
  <si>
    <t>Hallana</t>
  </si>
  <si>
    <t>15460 - Jaqueta Preto</t>
  </si>
  <si>
    <t>P</t>
  </si>
  <si>
    <t>Joziane</t>
  </si>
  <si>
    <t>01387 - Pantufa Castor</t>
  </si>
  <si>
    <t>U</t>
  </si>
  <si>
    <t>Carol</t>
  </si>
  <si>
    <t>02131-I - Legging Básica Seamless Khaki</t>
  </si>
  <si>
    <t>12735 - Camiseta Branco</t>
  </si>
  <si>
    <t>20231 - Conjunto AZ Eclipse / AZ Pavão</t>
  </si>
  <si>
    <t>Elaine(jo)</t>
  </si>
  <si>
    <t>14192 - Shorts VD Safari</t>
  </si>
  <si>
    <t>Bruna Garcia</t>
  </si>
  <si>
    <t>02181 - Legging Marsala / Vino</t>
  </si>
  <si>
    <t>Regiane</t>
  </si>
  <si>
    <t>20231 - Conjunto Preto / VD Líquen</t>
  </si>
  <si>
    <t>Ivanilda</t>
  </si>
  <si>
    <t>12740 - Camiseta Preto</t>
  </si>
  <si>
    <t>Daiane Francioli</t>
  </si>
  <si>
    <t>1398 - Cachecol Preto</t>
  </si>
  <si>
    <t>Código</t>
  </si>
  <si>
    <t xml:space="preserve">Nome </t>
  </si>
  <si>
    <t>Telefone</t>
  </si>
  <si>
    <t>Cidade</t>
  </si>
  <si>
    <t>Intagram</t>
  </si>
  <si>
    <t>Data Cadastro</t>
  </si>
  <si>
    <t>Ultima compra</t>
  </si>
  <si>
    <t>Total comprado</t>
  </si>
  <si>
    <t>Ticket Médio</t>
  </si>
  <si>
    <t>Observações</t>
  </si>
  <si>
    <t>Cliente Avulso</t>
  </si>
  <si>
    <t>Sertanópolis</t>
  </si>
  <si>
    <t>Edilaine</t>
  </si>
  <si>
    <t>Odete</t>
  </si>
  <si>
    <t>Kerowlen</t>
  </si>
  <si>
    <t>Bianca Sanches</t>
  </si>
  <si>
    <t>Rhuana</t>
  </si>
  <si>
    <t>Hingredy</t>
  </si>
  <si>
    <t>Andressa</t>
  </si>
  <si>
    <t>Tania</t>
  </si>
  <si>
    <t>Josiany Moreira</t>
  </si>
  <si>
    <t>Fram Salmen</t>
  </si>
  <si>
    <t>Queren Anie</t>
  </si>
  <si>
    <t>Londrina</t>
  </si>
  <si>
    <t>Elaine</t>
  </si>
  <si>
    <t>Eliana Rodrigues</t>
  </si>
  <si>
    <t xml:space="preserve">Categoria </t>
  </si>
  <si>
    <t>Custo</t>
  </si>
  <si>
    <t xml:space="preserve">Frete </t>
  </si>
  <si>
    <t>IPI</t>
  </si>
  <si>
    <t>Embalagem</t>
  </si>
  <si>
    <t>Custo Total</t>
  </si>
  <si>
    <t>Margem %</t>
  </si>
  <si>
    <t>Preço sugerido</t>
  </si>
  <si>
    <t>Preço minimo</t>
  </si>
  <si>
    <t>Taxa 3x</t>
  </si>
  <si>
    <t xml:space="preserve"> 3x sem juros</t>
  </si>
  <si>
    <t>Taxa 12x</t>
  </si>
  <si>
    <t>12x sem juros</t>
  </si>
  <si>
    <t>Estoque Atual</t>
  </si>
  <si>
    <t>Dicorpo</t>
  </si>
  <si>
    <t>02169 - Pescador Preto</t>
  </si>
  <si>
    <t>AGUA PERF. CASZULO 500ML BAMBU ORIENTAL</t>
  </si>
  <si>
    <t>Via Aroma</t>
  </si>
  <si>
    <t>AGUA PERF. CASZULO 500ML CAPIM LIMAO</t>
  </si>
  <si>
    <t>AGUA PERF. VIA AROMA 500ML CLASSICA BABY</t>
  </si>
  <si>
    <t>AGUA PERF. VIA AROMA 500ML CLASSICA BLACK VANILLA</t>
  </si>
  <si>
    <t>AROMAT. VIA AROMA ORIGINAL</t>
  </si>
  <si>
    <t>AROMAT. VIA AROMA STANDARD</t>
  </si>
  <si>
    <t>AROMAT. VIA AROMA STANDARD BLACK</t>
  </si>
  <si>
    <t>AROMAT. VIA AROMA STANDARD C/BAMBOO</t>
  </si>
  <si>
    <t>DIFUSOR VARETAS 200ML BAMBOO</t>
  </si>
  <si>
    <t>DIFUSOR VARETAS 200ML JASMIM BRANCO</t>
  </si>
  <si>
    <t>DIFUSOR CASZULO 250ML BAMBU</t>
  </si>
  <si>
    <t>DIFUSOR CASZULO 250ML LAVANDA</t>
  </si>
  <si>
    <t>DIFUSOR CASZULO 250ML CAPIM LIMAO</t>
  </si>
  <si>
    <t>ESSENCIA 10ML BAMBOO</t>
  </si>
  <si>
    <t>ESSENCIA 10ML CAPIM LIMAO</t>
  </si>
  <si>
    <t>ESSENCIA 10ML FLOR DE CEREJEIRA</t>
  </si>
  <si>
    <t>ESSENCIA 10ML LAVANDA</t>
  </si>
  <si>
    <t>ESSENCIA 10ML MACA C/ CANELA</t>
  </si>
  <si>
    <t>HIDRATANTE 200ML BAMBOO FRESH</t>
  </si>
  <si>
    <t>HIDRATANTE 200ML LAVANDA FRANCESA</t>
  </si>
  <si>
    <t>HOME SPRAY 200ML JASMIM BRANCO</t>
  </si>
  <si>
    <t>HOME SPRAY 60ML BABY</t>
  </si>
  <si>
    <t>HOME SPRAY 60ML BAMBOO</t>
  </si>
  <si>
    <t>HOME SPRAY 60ML CAPIM LIMAO</t>
  </si>
  <si>
    <t>HOME SPRAY 60ML FLOR CEREJEIRA</t>
  </si>
  <si>
    <t>HOME SPRAY 60ML JASMIM BRANCO</t>
  </si>
  <si>
    <t>HOME SPRAY 60ML LAVANDA FRANCESA</t>
  </si>
  <si>
    <t>HOME SPRAY 60ML MACA CANELA</t>
  </si>
  <si>
    <t>HOME SPRAY 60ML MUSK</t>
  </si>
  <si>
    <t>HOME SPRAY 60ML NOSSA ESSENCIA</t>
  </si>
  <si>
    <t>HOME SPRAY 60ML PEONIA</t>
  </si>
  <si>
    <t>HOME SPRAY 60ML VANILLA</t>
  </si>
  <si>
    <t>HOME SPRAY 60ML WOOD</t>
  </si>
  <si>
    <t>SABONETE LIQUIDO 200ML BLACK VANILLA</t>
  </si>
  <si>
    <t>AGUA PERF CASZULO CEREJEIRA</t>
  </si>
  <si>
    <t>AGUA PERF CASZULO BAUNILHA</t>
  </si>
  <si>
    <t>AGUA PERF VIA AROMA CEREJEIRA</t>
  </si>
  <si>
    <t>AGUA PERF VIA AROMA LAVANDA</t>
  </si>
  <si>
    <t>AGUA PERF VIA AROMA VANILLA</t>
  </si>
  <si>
    <t>KIT AROMATIZADOR CEREJEIRA VANILLA</t>
  </si>
  <si>
    <t>AROMATIZADOR VIA AROMA ORIGINAL</t>
  </si>
  <si>
    <t>AROMATIZADOR VIA AROMA STANDARD</t>
  </si>
  <si>
    <t>AROMATIZADOR BLACK LAVANDA</t>
  </si>
  <si>
    <t>AROMATIZADOR VANILLA</t>
  </si>
  <si>
    <t>AROMATIZADOR USB</t>
  </si>
  <si>
    <t>AROMATIZADOR USB BLACK</t>
  </si>
  <si>
    <t>DIFUSOR VARETAS LAVANDA</t>
  </si>
  <si>
    <t>DIFUSOR VARETAS AMEIXA VANILLA</t>
  </si>
  <si>
    <t>DIFUSOR CASZULO BAUNILHA</t>
  </si>
  <si>
    <t>DISPLAY EXPOSITOR</t>
  </si>
  <si>
    <t>ESSENCIA LAVANDA</t>
  </si>
  <si>
    <t>ESSENCIA CEREJA NEGRA</t>
  </si>
  <si>
    <t>ESSENCIA BAUNILHA</t>
  </si>
  <si>
    <t>ESSENCIA FLOR LARANJEIRA</t>
  </si>
  <si>
    <t>ESSENCIA ALECRIM SILVESTRE</t>
  </si>
  <si>
    <t>ESSENCIA BLACK VANILLA</t>
  </si>
  <si>
    <t>ESSENCIA BOURBON</t>
  </si>
  <si>
    <t>ESSENCIA FLOR FIGO</t>
  </si>
  <si>
    <t>ESSENCIA GARDENIA MEL</t>
  </si>
  <si>
    <t>ESSENCIA LAVANDA CLASSICA</t>
  </si>
  <si>
    <t>ESSENCIA LIRIO AMBAR</t>
  </si>
  <si>
    <t>ESSENCIA ALEGRIA</t>
  </si>
  <si>
    <t>ESSENCIA CRIATIVIDADE</t>
  </si>
  <si>
    <t>HIDRATANTE LAVANDA</t>
  </si>
  <si>
    <t>HIDRATANTE VANILLA</t>
  </si>
  <si>
    <t>KIT ESSENCIAS VANILLA</t>
  </si>
  <si>
    <t>OLEO ESSENCIAL ALECRIM</t>
  </si>
  <si>
    <t>OLEO ESSENCIAL LARANJA DOCE</t>
  </si>
  <si>
    <t>OLEO ESSENCIAL LEMONGRASS</t>
  </si>
  <si>
    <t>REFIL DIFUSOR MUSK</t>
  </si>
  <si>
    <t>REFIL SABONETE LAVANDA</t>
  </si>
  <si>
    <t>REFIL SABONETE VANILLA</t>
  </si>
  <si>
    <t>SABONETE CEREJEIRA</t>
  </si>
  <si>
    <t>SABONETE JASMIM</t>
  </si>
  <si>
    <t>SABONETE CANCUN CEREJA</t>
  </si>
  <si>
    <t>SABONETE CASZULO OCEANO</t>
  </si>
  <si>
    <t>SABONETE CASZULO LAVANDA</t>
  </si>
  <si>
    <t>SABONETE CASZULO PEONIA</t>
  </si>
  <si>
    <t>SACHE JASMIM</t>
  </si>
  <si>
    <t>SACHE LAVANDA</t>
  </si>
  <si>
    <t>SACHE LAVANDERIA</t>
  </si>
  <si>
    <t>SACHE MUSK</t>
  </si>
  <si>
    <t>SACHE VANILLA</t>
  </si>
  <si>
    <t>SACHE WOOD</t>
  </si>
  <si>
    <t>SACHE 25G JASMIM</t>
  </si>
  <si>
    <t>SACHE 25G LAVANDA</t>
  </si>
  <si>
    <t>SACHE 25G LAVANDERIA</t>
  </si>
  <si>
    <t>SACHE 25G MUSK</t>
  </si>
  <si>
    <t>SACHE 25G WOOD</t>
  </si>
  <si>
    <t xml:space="preserve">Faturamento </t>
  </si>
  <si>
    <t>Forma</t>
  </si>
  <si>
    <t>Total Entradas</t>
  </si>
  <si>
    <t>Total Saídas</t>
  </si>
  <si>
    <t>Saldo Atual</t>
  </si>
  <si>
    <t xml:space="preserve">Lucro </t>
  </si>
  <si>
    <t>Pix</t>
  </si>
  <si>
    <t>Vendas</t>
  </si>
  <si>
    <t>Cartão 1x</t>
  </si>
  <si>
    <t>Cartão 3x</t>
  </si>
  <si>
    <t>Valor</t>
  </si>
  <si>
    <t>Cartão 12x</t>
  </si>
  <si>
    <t>Pago</t>
  </si>
  <si>
    <t>Pendente</t>
  </si>
  <si>
    <t>PRODUTO MAIS VENDIDO</t>
  </si>
  <si>
    <t>mês atual</t>
  </si>
  <si>
    <t xml:space="preserve">Custo </t>
  </si>
  <si>
    <t>Entradas</t>
  </si>
  <si>
    <t>MES</t>
  </si>
  <si>
    <t>abril</t>
  </si>
  <si>
    <t>Ano</t>
  </si>
  <si>
    <t>Tipo</t>
  </si>
  <si>
    <t>Categoria</t>
  </si>
  <si>
    <t>Descrição</t>
  </si>
  <si>
    <t>Saída</t>
  </si>
  <si>
    <t>Fornecedor</t>
  </si>
  <si>
    <t xml:space="preserve">Via aroma </t>
  </si>
  <si>
    <t>Das</t>
  </si>
  <si>
    <t xml:space="preserve"> </t>
  </si>
  <si>
    <t>produto</t>
  </si>
  <si>
    <t>Forma de pagamento</t>
  </si>
  <si>
    <t>Entrada</t>
  </si>
  <si>
    <t>Venda</t>
  </si>
  <si>
    <t>fornecedores</t>
  </si>
  <si>
    <t>Mes</t>
  </si>
  <si>
    <t>PP</t>
  </si>
  <si>
    <t>Di Corpo</t>
  </si>
  <si>
    <t>janeiro</t>
  </si>
  <si>
    <t>fevereiro</t>
  </si>
  <si>
    <t>Boleto</t>
  </si>
  <si>
    <t>Marketing</t>
  </si>
  <si>
    <t>Perfumes</t>
  </si>
  <si>
    <t>março</t>
  </si>
  <si>
    <t>Transporte</t>
  </si>
  <si>
    <t>Aluguel</t>
  </si>
  <si>
    <t>maio</t>
  </si>
  <si>
    <t>XGG</t>
  </si>
  <si>
    <t>Internet</t>
  </si>
  <si>
    <t>junho</t>
  </si>
  <si>
    <t>Retirada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</si>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</sst>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1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sz val="16.0"/>
      <color rgb="FF274E13"/>
      <name val="Arial"/>
      <scheme val="minor"/>
    </font>
    <font>
      <b/>
      <sz val="16.0"/>
      <color theme="0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b/>
      <sz val="16.0"/>
      <color rgb="FFEFEFEF"/>
      <name val="Arial"/>
      <scheme val="minor"/>
    </font>
    <font>
      <sz val="12.0"/>
      <color theme="1"/>
      <name val="Arial"/>
      <scheme val="minor"/>
    </font>
    <font>
      <sz val="16.0"/>
      <color rgb="FF000000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2" fillId="3" fontId="3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3" fillId="0" fontId="2" numFmtId="165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0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7" fontId="10" numFmtId="0" xfId="0" applyAlignment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8" fontId="9" numFmtId="0" xfId="0" applyAlignment="1" applyFill="1" applyFont="1">
      <alignment horizontal="center" readingOrder="0"/>
    </xf>
    <xf borderId="0" fillId="9" fontId="12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0" fontId="1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10" max="10" width="19.63"/>
    <col customWidth="1" min="12" max="12" width="13.63"/>
    <col customWidth="1" min="13" max="1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46149.0</v>
      </c>
      <c r="B2" s="5" t="s">
        <v>13</v>
      </c>
      <c r="C2" s="5" t="s">
        <v>14</v>
      </c>
      <c r="D2" s="5" t="s">
        <v>15</v>
      </c>
      <c r="E2" s="5">
        <v>1.0</v>
      </c>
      <c r="F2" s="6">
        <v>125.0</v>
      </c>
      <c r="G2" s="7">
        <f t="shared" ref="G2:G401" si="1">IF(E2="","",E2*F2)</f>
        <v>125</v>
      </c>
      <c r="H2" s="7">
        <f t="array" ref="H2">IFERROR(INDEX(Produtos!I:I,MATCH(C2&amp;D2,Produtos!B:B&amp;Produtos!C:C,0)),"")</f>
        <v>109.62</v>
      </c>
      <c r="I2" s="7">
        <f t="shared" ref="I2:I6" si="2">IF(E2="","",(F2-H2)*E2)</f>
        <v>15.38</v>
      </c>
      <c r="J2" s="5" t="s">
        <v>16</v>
      </c>
      <c r="K2" s="8" t="str">
        <f t="shared" ref="K2:K401" si="3">IF(M2&lt;=0,"Pago","Pendente")</f>
        <v>Pendente</v>
      </c>
      <c r="L2" s="5">
        <v>83.0</v>
      </c>
      <c r="M2" s="7">
        <f t="shared" ref="M2:M401" si="4">IF(G2="","",G2-L2)</f>
        <v>42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 t="str">
        <f>IFERROR(__xludf.DUMMYFUNCTION("IFERROR(FILTER(Config!E:E,TRIM(Config!D:D)=TRIM(C2)),"""")"),"")</f>
        <v/>
      </c>
      <c r="AA2" s="9"/>
    </row>
    <row r="3">
      <c r="A3" s="8"/>
      <c r="B3" s="5" t="s">
        <v>13</v>
      </c>
      <c r="C3" s="5" t="s">
        <v>17</v>
      </c>
      <c r="D3" s="5" t="s">
        <v>15</v>
      </c>
      <c r="E3" s="5">
        <v>1.0</v>
      </c>
      <c r="F3" s="6">
        <v>125.0</v>
      </c>
      <c r="G3" s="7">
        <f t="shared" si="1"/>
        <v>125</v>
      </c>
      <c r="H3" s="7">
        <f t="array" ref="H3">IFERROR(INDEX(Produtos!I:I,MATCH(C3&amp;D3,Produtos!B:B&amp;Produtos!C:C,0)),"")</f>
        <v>109.62</v>
      </c>
      <c r="I3" s="7">
        <f t="shared" si="2"/>
        <v>15.38</v>
      </c>
      <c r="J3" s="8"/>
      <c r="K3" s="8" t="str">
        <f t="shared" si="3"/>
        <v>Pendente</v>
      </c>
      <c r="L3" s="8"/>
      <c r="M3" s="7">
        <f t="shared" si="4"/>
        <v>125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8"/>
      <c r="B4" s="5" t="s">
        <v>18</v>
      </c>
      <c r="C4" s="5" t="s">
        <v>14</v>
      </c>
      <c r="D4" s="5" t="s">
        <v>19</v>
      </c>
      <c r="E4" s="5">
        <v>1.0</v>
      </c>
      <c r="F4" s="6">
        <v>125.0</v>
      </c>
      <c r="G4" s="7">
        <f t="shared" si="1"/>
        <v>125</v>
      </c>
      <c r="H4" s="7">
        <f t="array" ref="H4">IFERROR(INDEX(Produtos!I:I,MATCH(C4&amp;D4,Produtos!B:B&amp;Produtos!C:C,0)),"")</f>
        <v>109.62</v>
      </c>
      <c r="I4" s="7">
        <f t="shared" si="2"/>
        <v>15.38</v>
      </c>
      <c r="J4" s="8"/>
      <c r="K4" s="8" t="str">
        <f t="shared" si="3"/>
        <v>Pendente</v>
      </c>
      <c r="L4" s="8"/>
      <c r="M4" s="7">
        <f t="shared" si="4"/>
        <v>125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8"/>
      <c r="B5" s="5" t="s">
        <v>20</v>
      </c>
      <c r="C5" s="5" t="s">
        <v>14</v>
      </c>
      <c r="D5" s="5" t="s">
        <v>21</v>
      </c>
      <c r="E5" s="5">
        <v>1.0</v>
      </c>
      <c r="F5" s="6">
        <v>114.62</v>
      </c>
      <c r="G5" s="7">
        <f t="shared" si="1"/>
        <v>114.62</v>
      </c>
      <c r="H5" s="7">
        <f t="array" ref="H5">IFERROR(INDEX(Produtos!I:I,MATCH(C5&amp;D5,Produtos!B:B&amp;Produtos!C:C,0)),"")</f>
        <v>109.62</v>
      </c>
      <c r="I5" s="7">
        <f t="shared" si="2"/>
        <v>5</v>
      </c>
      <c r="J5" s="8"/>
      <c r="K5" s="8" t="str">
        <f t="shared" si="3"/>
        <v>Pendente</v>
      </c>
      <c r="L5" s="8"/>
      <c r="M5" s="7">
        <f t="shared" si="4"/>
        <v>114.62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8"/>
      <c r="B6" s="5" t="s">
        <v>20</v>
      </c>
      <c r="C6" s="5" t="s">
        <v>14</v>
      </c>
      <c r="D6" s="5" t="s">
        <v>21</v>
      </c>
      <c r="E6" s="5">
        <v>1.0</v>
      </c>
      <c r="F6" s="6">
        <v>114.62</v>
      </c>
      <c r="G6" s="7">
        <f t="shared" si="1"/>
        <v>114.62</v>
      </c>
      <c r="H6" s="7">
        <f t="array" ref="H6">IFERROR(INDEX(Produtos!I:I,MATCH(C6&amp;D6,Produtos!B:B&amp;Produtos!C:C,0)),"")</f>
        <v>109.62</v>
      </c>
      <c r="I6" s="7">
        <f t="shared" si="2"/>
        <v>5</v>
      </c>
      <c r="J6" s="8"/>
      <c r="K6" s="8" t="str">
        <f t="shared" si="3"/>
        <v>Pendente</v>
      </c>
      <c r="L6" s="8"/>
      <c r="M6" s="7">
        <f t="shared" si="4"/>
        <v>114.62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8"/>
      <c r="B7" s="5" t="s">
        <v>20</v>
      </c>
      <c r="C7" s="5" t="s">
        <v>17</v>
      </c>
      <c r="D7" s="5" t="s">
        <v>21</v>
      </c>
      <c r="E7" s="5">
        <v>1.0</v>
      </c>
      <c r="F7" s="6">
        <v>114.62</v>
      </c>
      <c r="G7" s="7">
        <f t="shared" si="1"/>
        <v>114.62</v>
      </c>
      <c r="H7" s="7">
        <f t="array" ref="H7">IFERROR(INDEX(Produtos!I:I,MATCH(C7&amp;D7,Produtos!B:B&amp;Produtos!C:C,0)),"")</f>
        <v>109.62</v>
      </c>
      <c r="I7" s="7">
        <f>IF(E6="","",(F6-H6)*E6)</f>
        <v>5</v>
      </c>
      <c r="J7" s="8"/>
      <c r="K7" s="8" t="str">
        <f t="shared" si="3"/>
        <v>Pendente</v>
      </c>
      <c r="L7" s="8"/>
      <c r="M7" s="7">
        <f t="shared" si="4"/>
        <v>114.62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8"/>
      <c r="B8" s="5" t="s">
        <v>22</v>
      </c>
      <c r="C8" s="5" t="s">
        <v>23</v>
      </c>
      <c r="D8" s="5" t="s">
        <v>24</v>
      </c>
      <c r="E8" s="5">
        <v>1.0</v>
      </c>
      <c r="F8" s="6">
        <v>322.0</v>
      </c>
      <c r="G8" s="7">
        <f t="shared" si="1"/>
        <v>322</v>
      </c>
      <c r="H8" s="7">
        <f t="array" ref="H8">IFERROR(INDEX(Produtos!I:I,MATCH(C8&amp;D8,Produtos!B:B&amp;Produtos!C:C,0)),"")</f>
        <v>322</v>
      </c>
      <c r="I8" s="7">
        <f t="shared" ref="I8:I401" si="5">IF(E8="","",(F8-H8)*E8)</f>
        <v>0</v>
      </c>
      <c r="J8" s="8"/>
      <c r="K8" s="8" t="str">
        <f t="shared" si="3"/>
        <v>Pendente</v>
      </c>
      <c r="L8" s="8"/>
      <c r="M8" s="7">
        <f t="shared" si="4"/>
        <v>322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8"/>
      <c r="B9" s="5" t="s">
        <v>25</v>
      </c>
      <c r="C9" s="5" t="s">
        <v>26</v>
      </c>
      <c r="D9" s="5" t="s">
        <v>27</v>
      </c>
      <c r="E9" s="5">
        <v>1.0</v>
      </c>
      <c r="F9" s="6">
        <v>125.0</v>
      </c>
      <c r="G9" s="7">
        <f t="shared" si="1"/>
        <v>125</v>
      </c>
      <c r="H9" s="7">
        <f t="array" ref="H9">IFERROR(INDEX(Produtos!I:I,MATCH(C9&amp;D9,Produtos!B:B&amp;Produtos!C:C,0)),"")</f>
        <v>122.77</v>
      </c>
      <c r="I9" s="7">
        <f t="shared" si="5"/>
        <v>2.23</v>
      </c>
      <c r="J9" s="8"/>
      <c r="K9" s="8" t="str">
        <f t="shared" si="3"/>
        <v>Pendente</v>
      </c>
      <c r="L9" s="8"/>
      <c r="M9" s="7">
        <f t="shared" si="4"/>
        <v>125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8"/>
      <c r="B10" s="5" t="s">
        <v>28</v>
      </c>
      <c r="C10" s="5" t="s">
        <v>29</v>
      </c>
      <c r="D10" s="5" t="s">
        <v>19</v>
      </c>
      <c r="E10" s="5">
        <v>1.0</v>
      </c>
      <c r="F10" s="6">
        <v>115.9</v>
      </c>
      <c r="G10" s="7">
        <f t="shared" si="1"/>
        <v>115.9</v>
      </c>
      <c r="H10" s="7">
        <f t="array" ref="H10">IFERROR(INDEX(Produtos!I:I,MATCH(C10&amp;D10,Produtos!B:B&amp;Produtos!C:C,0)),"")</f>
        <v>86.93</v>
      </c>
      <c r="I10" s="7">
        <f t="shared" si="5"/>
        <v>28.97</v>
      </c>
      <c r="J10" s="8"/>
      <c r="K10" s="8" t="str">
        <f t="shared" si="3"/>
        <v>Pendente</v>
      </c>
      <c r="L10" s="8"/>
      <c r="M10" s="7">
        <f t="shared" si="4"/>
        <v>115.9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8"/>
      <c r="B11" s="5" t="s">
        <v>28</v>
      </c>
      <c r="C11" s="5" t="s">
        <v>30</v>
      </c>
      <c r="D11" s="5" t="s">
        <v>15</v>
      </c>
      <c r="E11" s="5">
        <v>1.0</v>
      </c>
      <c r="F11" s="6">
        <v>127.68</v>
      </c>
      <c r="G11" s="7">
        <f t="shared" si="1"/>
        <v>127.68</v>
      </c>
      <c r="H11" s="7">
        <f t="array" ref="H11">IFERROR(INDEX(Produtos!I:I,MATCH(C11&amp;D11,Produtos!B:B&amp;Produtos!C:C,0)),"")</f>
        <v>95.76</v>
      </c>
      <c r="I11" s="7">
        <f t="shared" si="5"/>
        <v>31.92</v>
      </c>
      <c r="J11" s="8"/>
      <c r="K11" s="8" t="str">
        <f t="shared" si="3"/>
        <v>Pendente</v>
      </c>
      <c r="L11" s="8"/>
      <c r="M11" s="7">
        <f t="shared" si="4"/>
        <v>127.68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8"/>
      <c r="B12" s="5" t="s">
        <v>28</v>
      </c>
      <c r="C12" s="5" t="s">
        <v>31</v>
      </c>
      <c r="D12" s="5" t="s">
        <v>15</v>
      </c>
      <c r="E12" s="5">
        <v>1.0</v>
      </c>
      <c r="F12" s="6">
        <v>175.0</v>
      </c>
      <c r="G12" s="7">
        <f t="shared" si="1"/>
        <v>175</v>
      </c>
      <c r="H12" s="7">
        <f t="array" ref="H12">IFERROR(INDEX(Produtos!I:I,MATCH(C12&amp;D12,Produtos!B:B&amp;Produtos!C:C,0)),"")</f>
        <v>156.87</v>
      </c>
      <c r="I12" s="7">
        <f t="shared" si="5"/>
        <v>18.13</v>
      </c>
      <c r="J12" s="8"/>
      <c r="K12" s="8" t="str">
        <f t="shared" si="3"/>
        <v>Pendente</v>
      </c>
      <c r="L12" s="8"/>
      <c r="M12" s="7">
        <f t="shared" si="4"/>
        <v>175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8"/>
      <c r="B13" s="5" t="s">
        <v>32</v>
      </c>
      <c r="C13" s="5" t="s">
        <v>33</v>
      </c>
      <c r="D13" s="5" t="s">
        <v>19</v>
      </c>
      <c r="E13" s="5">
        <v>1.0</v>
      </c>
      <c r="F13" s="6">
        <v>95.74</v>
      </c>
      <c r="G13" s="7">
        <f t="shared" si="1"/>
        <v>95.74</v>
      </c>
      <c r="H13" s="7">
        <f t="array" ref="H13">IFERROR(INDEX(Produtos!I:I,MATCH(C13&amp;D13,Produtos!B:B&amp;Produtos!C:C,0)),"")</f>
        <v>81.81</v>
      </c>
      <c r="I13" s="7">
        <f t="shared" si="5"/>
        <v>13.93</v>
      </c>
      <c r="J13" s="8"/>
      <c r="K13" s="8" t="str">
        <f t="shared" si="3"/>
        <v>Pendente</v>
      </c>
      <c r="L13" s="8"/>
      <c r="M13" s="7">
        <f t="shared" si="4"/>
        <v>95.74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8"/>
      <c r="B14" s="5" t="s">
        <v>32</v>
      </c>
      <c r="C14" s="5" t="s">
        <v>14</v>
      </c>
      <c r="D14" s="5" t="s">
        <v>19</v>
      </c>
      <c r="E14" s="5">
        <v>1.0</v>
      </c>
      <c r="F14" s="6">
        <v>125.0</v>
      </c>
      <c r="G14" s="7">
        <f t="shared" si="1"/>
        <v>125</v>
      </c>
      <c r="H14" s="7">
        <f t="array" ref="H14">IFERROR(INDEX(Produtos!I:I,MATCH(C14&amp;D14,Produtos!B:B&amp;Produtos!C:C,0)),"")</f>
        <v>109.62</v>
      </c>
      <c r="I14" s="7">
        <f t="shared" si="5"/>
        <v>15.38</v>
      </c>
      <c r="J14" s="8"/>
      <c r="K14" s="8" t="str">
        <f t="shared" si="3"/>
        <v>Pendente</v>
      </c>
      <c r="L14" s="8"/>
      <c r="M14" s="7">
        <f t="shared" si="4"/>
        <v>125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"/>
      <c r="B15" s="5" t="s">
        <v>34</v>
      </c>
      <c r="C15" s="5" t="s">
        <v>35</v>
      </c>
      <c r="D15" s="5" t="s">
        <v>21</v>
      </c>
      <c r="E15" s="5">
        <v>1.0</v>
      </c>
      <c r="F15" s="6">
        <v>158.68</v>
      </c>
      <c r="G15" s="7">
        <f t="shared" si="1"/>
        <v>158.68</v>
      </c>
      <c r="H15" s="7">
        <f t="array" ref="H15">IFERROR(INDEX(Produtos!I:I,MATCH(C15&amp;D15,Produtos!B:B&amp;Produtos!C:C,0)),"")</f>
        <v>121.51</v>
      </c>
      <c r="I15" s="7">
        <f t="shared" si="5"/>
        <v>37.17</v>
      </c>
      <c r="J15" s="8"/>
      <c r="K15" s="8" t="str">
        <f t="shared" si="3"/>
        <v>Pendente</v>
      </c>
      <c r="L15" s="8"/>
      <c r="M15" s="7">
        <f t="shared" si="4"/>
        <v>158.68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8"/>
      <c r="B16" s="5" t="s">
        <v>36</v>
      </c>
      <c r="C16" s="5" t="s">
        <v>37</v>
      </c>
      <c r="D16" s="5" t="s">
        <v>21</v>
      </c>
      <c r="E16" s="5">
        <v>1.0</v>
      </c>
      <c r="F16" s="6">
        <v>175.0</v>
      </c>
      <c r="G16" s="7">
        <f t="shared" si="1"/>
        <v>175</v>
      </c>
      <c r="H16" s="7">
        <f t="array" ref="H16">IFERROR(INDEX(Produtos!I:I,MATCH(C16&amp;D16,Produtos!B:B&amp;Produtos!C:C,0)),"")</f>
        <v>156.87</v>
      </c>
      <c r="I16" s="7">
        <f t="shared" si="5"/>
        <v>18.13</v>
      </c>
      <c r="J16" s="8"/>
      <c r="K16" s="8" t="str">
        <f t="shared" si="3"/>
        <v>Pendente</v>
      </c>
      <c r="L16" s="8"/>
      <c r="M16" s="7">
        <f t="shared" si="4"/>
        <v>175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8"/>
      <c r="B17" s="5" t="s">
        <v>38</v>
      </c>
      <c r="C17" s="5" t="s">
        <v>39</v>
      </c>
      <c r="D17" s="5" t="s">
        <v>19</v>
      </c>
      <c r="E17" s="5">
        <v>1.0</v>
      </c>
      <c r="F17" s="6">
        <v>115.0</v>
      </c>
      <c r="G17" s="7">
        <f t="shared" si="1"/>
        <v>115</v>
      </c>
      <c r="H17" s="7">
        <f t="array" ref="H17">IFERROR(INDEX(Produtos!I:I,MATCH(C17&amp;D17,Produtos!B:B&amp;Produtos!C:C,0)),"")</f>
        <v>87.56</v>
      </c>
      <c r="I17" s="7">
        <f t="shared" si="5"/>
        <v>27.44</v>
      </c>
      <c r="J17" s="8"/>
      <c r="K17" s="8" t="str">
        <f t="shared" si="3"/>
        <v>Pendente</v>
      </c>
      <c r="L17" s="8"/>
      <c r="M17" s="7">
        <f t="shared" si="4"/>
        <v>115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8"/>
      <c r="B18" s="5" t="s">
        <v>40</v>
      </c>
      <c r="C18" s="5" t="s">
        <v>41</v>
      </c>
      <c r="D18" s="5" t="s">
        <v>27</v>
      </c>
      <c r="E18" s="5">
        <v>1.0</v>
      </c>
      <c r="F18" s="6">
        <v>50.0</v>
      </c>
      <c r="G18" s="7">
        <f t="shared" si="1"/>
        <v>50</v>
      </c>
      <c r="H18" s="7">
        <f t="array" ref="H18">IFERROR(INDEX(Produtos!I:I,MATCH(C18&amp;D18,Produtos!B:B&amp;Produtos!C:C,0)),"")</f>
        <v>43.46</v>
      </c>
      <c r="I18" s="7">
        <f t="shared" si="5"/>
        <v>6.54</v>
      </c>
      <c r="J18" s="8"/>
      <c r="K18" s="8" t="str">
        <f t="shared" si="3"/>
        <v>Pendente</v>
      </c>
      <c r="L18" s="8"/>
      <c r="M18" s="7">
        <f t="shared" si="4"/>
        <v>50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8"/>
      <c r="B19" s="5" t="s">
        <v>40</v>
      </c>
      <c r="C19" s="5" t="s">
        <v>31</v>
      </c>
      <c r="D19" s="5" t="s">
        <v>19</v>
      </c>
      <c r="E19" s="5">
        <v>1.0</v>
      </c>
      <c r="F19" s="6">
        <v>175.0</v>
      </c>
      <c r="G19" s="7">
        <f t="shared" si="1"/>
        <v>175</v>
      </c>
      <c r="H19" s="7">
        <f t="array" ref="H19">IFERROR(INDEX(Produtos!I:I,MATCH(C19&amp;D19,Produtos!B:B&amp;Produtos!C:C,0)),"")</f>
        <v>156.87</v>
      </c>
      <c r="I19" s="7">
        <f t="shared" si="5"/>
        <v>18.13</v>
      </c>
      <c r="J19" s="8"/>
      <c r="K19" s="8" t="str">
        <f t="shared" si="3"/>
        <v>Pendente</v>
      </c>
      <c r="L19" s="8"/>
      <c r="M19" s="7">
        <f t="shared" si="4"/>
        <v>175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8"/>
      <c r="B20" s="8"/>
      <c r="C20" s="8"/>
      <c r="D20" s="8"/>
      <c r="E20" s="8"/>
      <c r="F20" s="6"/>
      <c r="G20" s="7" t="str">
        <f t="shared" si="1"/>
        <v/>
      </c>
      <c r="H20" s="7">
        <f t="array" ref="H20">IFERROR(INDEX(Produtos!I:I,MATCH(C20&amp;D20,Produtos!B:B&amp;Produtos!C:C,0)),"")</f>
        <v>0</v>
      </c>
      <c r="I20" s="7" t="str">
        <f t="shared" si="5"/>
        <v/>
      </c>
      <c r="J20" s="8"/>
      <c r="K20" s="8" t="str">
        <f t="shared" si="3"/>
        <v>Pendente</v>
      </c>
      <c r="L20" s="8"/>
      <c r="M20" s="8" t="str">
        <f t="shared" si="4"/>
        <v/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8"/>
      <c r="B21" s="8"/>
      <c r="C21" s="8"/>
      <c r="D21" s="8"/>
      <c r="E21" s="8"/>
      <c r="F21" s="6"/>
      <c r="G21" s="7" t="str">
        <f t="shared" si="1"/>
        <v/>
      </c>
      <c r="H21" s="7">
        <f t="array" ref="H21">IFERROR(INDEX(Produtos!I:I,MATCH(C21&amp;D21,Produtos!B:B&amp;Produtos!C:C,0)),"")</f>
        <v>0</v>
      </c>
      <c r="I21" s="7" t="str">
        <f t="shared" si="5"/>
        <v/>
      </c>
      <c r="J21" s="8"/>
      <c r="K21" s="8" t="str">
        <f t="shared" si="3"/>
        <v>Pendente</v>
      </c>
      <c r="L21" s="8"/>
      <c r="M21" s="8" t="str">
        <f t="shared" si="4"/>
        <v/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8"/>
      <c r="B22" s="8"/>
      <c r="C22" s="8"/>
      <c r="D22" s="8"/>
      <c r="E22" s="8"/>
      <c r="F22" s="6"/>
      <c r="G22" s="7" t="str">
        <f t="shared" si="1"/>
        <v/>
      </c>
      <c r="H22" s="7">
        <f t="array" ref="H22">IFERROR(INDEX(Produtos!I:I,MATCH(C22&amp;D22,Produtos!B:B&amp;Produtos!C:C,0)),"")</f>
        <v>0</v>
      </c>
      <c r="I22" s="7" t="str">
        <f t="shared" si="5"/>
        <v/>
      </c>
      <c r="J22" s="8"/>
      <c r="K22" s="8" t="str">
        <f t="shared" si="3"/>
        <v>Pendente</v>
      </c>
      <c r="L22" s="8"/>
      <c r="M22" s="8" t="str">
        <f t="shared" si="4"/>
        <v/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8"/>
      <c r="B23" s="8"/>
      <c r="C23" s="8"/>
      <c r="D23" s="8"/>
      <c r="E23" s="8"/>
      <c r="F23" s="6"/>
      <c r="G23" s="7" t="str">
        <f t="shared" si="1"/>
        <v/>
      </c>
      <c r="H23" s="7">
        <f t="array" ref="H23">IFERROR(INDEX(Produtos!I:I,MATCH(C23&amp;D23,Produtos!B:B&amp;Produtos!C:C,0)),"")</f>
        <v>0</v>
      </c>
      <c r="I23" s="7" t="str">
        <f t="shared" si="5"/>
        <v/>
      </c>
      <c r="J23" s="8"/>
      <c r="K23" s="8" t="str">
        <f t="shared" si="3"/>
        <v>Pendente</v>
      </c>
      <c r="L23" s="8"/>
      <c r="M23" s="8" t="str">
        <f t="shared" si="4"/>
        <v/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8"/>
      <c r="B24" s="8"/>
      <c r="C24" s="8"/>
      <c r="D24" s="8"/>
      <c r="E24" s="8"/>
      <c r="F24" s="6"/>
      <c r="G24" s="7" t="str">
        <f t="shared" si="1"/>
        <v/>
      </c>
      <c r="H24" s="7">
        <f t="array" ref="H24">IFERROR(INDEX(Produtos!I:I,MATCH(C24&amp;D24,Produtos!B:B&amp;Produtos!C:C,0)),"")</f>
        <v>0</v>
      </c>
      <c r="I24" s="7" t="str">
        <f t="shared" si="5"/>
        <v/>
      </c>
      <c r="J24" s="8"/>
      <c r="K24" s="8" t="str">
        <f t="shared" si="3"/>
        <v>Pendente</v>
      </c>
      <c r="L24" s="8"/>
      <c r="M24" s="8" t="str">
        <f t="shared" si="4"/>
        <v/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"/>
      <c r="B25" s="8"/>
      <c r="C25" s="8"/>
      <c r="D25" s="8"/>
      <c r="E25" s="8"/>
      <c r="F25" s="6"/>
      <c r="G25" s="7" t="str">
        <f t="shared" si="1"/>
        <v/>
      </c>
      <c r="H25" s="7">
        <f t="array" ref="H25">IFERROR(INDEX(Produtos!I:I,MATCH(C25&amp;D25,Produtos!B:B&amp;Produtos!C:C,0)),"")</f>
        <v>0</v>
      </c>
      <c r="I25" s="7" t="str">
        <f t="shared" si="5"/>
        <v/>
      </c>
      <c r="J25" s="8"/>
      <c r="K25" s="8" t="str">
        <f t="shared" si="3"/>
        <v>Pendente</v>
      </c>
      <c r="L25" s="8"/>
      <c r="M25" s="8" t="str">
        <f t="shared" si="4"/>
        <v/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8"/>
      <c r="B26" s="8"/>
      <c r="C26" s="8"/>
      <c r="D26" s="8"/>
      <c r="E26" s="8"/>
      <c r="F26" s="6"/>
      <c r="G26" s="7" t="str">
        <f t="shared" si="1"/>
        <v/>
      </c>
      <c r="H26" s="7">
        <f t="array" ref="H26">IFERROR(INDEX(Produtos!I:I,MATCH(C26&amp;D26,Produtos!B:B&amp;Produtos!C:C,0)),"")</f>
        <v>0</v>
      </c>
      <c r="I26" s="7" t="str">
        <f t="shared" si="5"/>
        <v/>
      </c>
      <c r="J26" s="8"/>
      <c r="K26" s="8" t="str">
        <f t="shared" si="3"/>
        <v>Pendente</v>
      </c>
      <c r="L26" s="8"/>
      <c r="M26" s="8" t="str">
        <f t="shared" si="4"/>
        <v/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8"/>
      <c r="B27" s="8"/>
      <c r="C27" s="8"/>
      <c r="D27" s="8"/>
      <c r="E27" s="8"/>
      <c r="F27" s="6"/>
      <c r="G27" s="7" t="str">
        <f t="shared" si="1"/>
        <v/>
      </c>
      <c r="H27" s="7">
        <f t="array" ref="H27">IFERROR(INDEX(Produtos!I:I,MATCH(C27&amp;D27,Produtos!B:B&amp;Produtos!C:C,0)),"")</f>
        <v>0</v>
      </c>
      <c r="I27" s="7" t="str">
        <f t="shared" si="5"/>
        <v/>
      </c>
      <c r="J27" s="8"/>
      <c r="K27" s="8" t="str">
        <f t="shared" si="3"/>
        <v>Pendente</v>
      </c>
      <c r="L27" s="8"/>
      <c r="M27" s="8" t="str">
        <f t="shared" si="4"/>
        <v/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8"/>
      <c r="B28" s="8"/>
      <c r="C28" s="8"/>
      <c r="D28" s="8"/>
      <c r="E28" s="8"/>
      <c r="F28" s="6"/>
      <c r="G28" s="7" t="str">
        <f t="shared" si="1"/>
        <v/>
      </c>
      <c r="H28" s="7">
        <f t="array" ref="H28">IFERROR(INDEX(Produtos!I:I,MATCH(C28&amp;D28,Produtos!B:B&amp;Produtos!C:C,0)),"")</f>
        <v>0</v>
      </c>
      <c r="I28" s="7" t="str">
        <f t="shared" si="5"/>
        <v/>
      </c>
      <c r="J28" s="8"/>
      <c r="K28" s="8" t="str">
        <f t="shared" si="3"/>
        <v>Pendente</v>
      </c>
      <c r="L28" s="8"/>
      <c r="M28" s="8" t="str">
        <f t="shared" si="4"/>
        <v/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8"/>
      <c r="B29" s="8"/>
      <c r="C29" s="8"/>
      <c r="D29" s="8"/>
      <c r="E29" s="8"/>
      <c r="F29" s="6"/>
      <c r="G29" s="7" t="str">
        <f t="shared" si="1"/>
        <v/>
      </c>
      <c r="H29" s="7">
        <f t="array" ref="H29">IFERROR(INDEX(Produtos!I:I,MATCH(C29&amp;D29,Produtos!B:B&amp;Produtos!C:C,0)),"")</f>
        <v>0</v>
      </c>
      <c r="I29" s="7" t="str">
        <f t="shared" si="5"/>
        <v/>
      </c>
      <c r="J29" s="8"/>
      <c r="K29" s="8" t="str">
        <f t="shared" si="3"/>
        <v>Pendente</v>
      </c>
      <c r="L29" s="8"/>
      <c r="M29" s="8" t="str">
        <f t="shared" si="4"/>
        <v/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8"/>
      <c r="B30" s="8"/>
      <c r="C30" s="8"/>
      <c r="D30" s="8"/>
      <c r="E30" s="8"/>
      <c r="F30" s="6"/>
      <c r="G30" s="7" t="str">
        <f t="shared" si="1"/>
        <v/>
      </c>
      <c r="H30" s="7">
        <f t="array" ref="H30">IFERROR(INDEX(Produtos!I:I,MATCH(C30&amp;D30,Produtos!B:B&amp;Produtos!C:C,0)),"")</f>
        <v>0</v>
      </c>
      <c r="I30" s="7" t="str">
        <f t="shared" si="5"/>
        <v/>
      </c>
      <c r="J30" s="8"/>
      <c r="K30" s="8" t="str">
        <f t="shared" si="3"/>
        <v>Pendente</v>
      </c>
      <c r="L30" s="8"/>
      <c r="M30" s="8" t="str">
        <f t="shared" si="4"/>
        <v/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8"/>
      <c r="B31" s="8"/>
      <c r="C31" s="8"/>
      <c r="D31" s="8"/>
      <c r="E31" s="8"/>
      <c r="F31" s="6"/>
      <c r="G31" s="7" t="str">
        <f t="shared" si="1"/>
        <v/>
      </c>
      <c r="H31" s="7">
        <f t="array" ref="H31">IFERROR(INDEX(Produtos!I:I,MATCH(C31&amp;D31,Produtos!B:B&amp;Produtos!C:C,0)),"")</f>
        <v>0</v>
      </c>
      <c r="I31" s="7" t="str">
        <f t="shared" si="5"/>
        <v/>
      </c>
      <c r="J31" s="8"/>
      <c r="K31" s="8" t="str">
        <f t="shared" si="3"/>
        <v>Pendente</v>
      </c>
      <c r="L31" s="8"/>
      <c r="M31" s="8" t="str">
        <f t="shared" si="4"/>
        <v/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8"/>
      <c r="B32" s="8"/>
      <c r="C32" s="8"/>
      <c r="D32" s="8"/>
      <c r="E32" s="8"/>
      <c r="F32" s="6"/>
      <c r="G32" s="7" t="str">
        <f t="shared" si="1"/>
        <v/>
      </c>
      <c r="H32" s="7">
        <f t="array" ref="H32">IFERROR(INDEX(Produtos!I:I,MATCH(C32&amp;D32,Produtos!B:B&amp;Produtos!C:C,0)),"")</f>
        <v>0</v>
      </c>
      <c r="I32" s="7" t="str">
        <f t="shared" si="5"/>
        <v/>
      </c>
      <c r="J32" s="8"/>
      <c r="K32" s="8" t="str">
        <f t="shared" si="3"/>
        <v>Pendente</v>
      </c>
      <c r="L32" s="8"/>
      <c r="M32" s="8" t="str">
        <f t="shared" si="4"/>
        <v/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8"/>
      <c r="B33" s="8"/>
      <c r="C33" s="8"/>
      <c r="D33" s="8"/>
      <c r="E33" s="8"/>
      <c r="F33" s="6"/>
      <c r="G33" s="7" t="str">
        <f t="shared" si="1"/>
        <v/>
      </c>
      <c r="H33" s="7">
        <f t="array" ref="H33">IFERROR(INDEX(Produtos!I:I,MATCH(C33&amp;D33,Produtos!B:B&amp;Produtos!C:C,0)),"")</f>
        <v>0</v>
      </c>
      <c r="I33" s="7" t="str">
        <f t="shared" si="5"/>
        <v/>
      </c>
      <c r="J33" s="8"/>
      <c r="K33" s="8" t="str">
        <f t="shared" si="3"/>
        <v>Pendente</v>
      </c>
      <c r="L33" s="8"/>
      <c r="M33" s="8" t="str">
        <f t="shared" si="4"/>
        <v/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8"/>
      <c r="B34" s="8"/>
      <c r="C34" s="8"/>
      <c r="D34" s="8"/>
      <c r="E34" s="8"/>
      <c r="F34" s="6"/>
      <c r="G34" s="7" t="str">
        <f t="shared" si="1"/>
        <v/>
      </c>
      <c r="H34" s="7">
        <f t="array" ref="H34">IFERROR(INDEX(Produtos!I:I,MATCH(C34&amp;D34,Produtos!B:B&amp;Produtos!C:C,0)),"")</f>
        <v>0</v>
      </c>
      <c r="I34" s="7" t="str">
        <f t="shared" si="5"/>
        <v/>
      </c>
      <c r="J34" s="8"/>
      <c r="K34" s="8" t="str">
        <f t="shared" si="3"/>
        <v>Pendente</v>
      </c>
      <c r="L34" s="8"/>
      <c r="M34" s="8" t="str">
        <f t="shared" si="4"/>
        <v/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"/>
      <c r="B35" s="8"/>
      <c r="C35" s="8"/>
      <c r="D35" s="8"/>
      <c r="E35" s="8"/>
      <c r="F35" s="6"/>
      <c r="G35" s="7" t="str">
        <f t="shared" si="1"/>
        <v/>
      </c>
      <c r="H35" s="7">
        <f t="array" ref="H35">IFERROR(INDEX(Produtos!I:I,MATCH(C35&amp;D35,Produtos!B:B&amp;Produtos!C:C,0)),"")</f>
        <v>0</v>
      </c>
      <c r="I35" s="7" t="str">
        <f t="shared" si="5"/>
        <v/>
      </c>
      <c r="J35" s="8"/>
      <c r="K35" s="8" t="str">
        <f t="shared" si="3"/>
        <v>Pendente</v>
      </c>
      <c r="L35" s="8"/>
      <c r="M35" s="8" t="str">
        <f t="shared" si="4"/>
        <v/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8"/>
      <c r="B36" s="8"/>
      <c r="C36" s="8"/>
      <c r="D36" s="8"/>
      <c r="E36" s="8"/>
      <c r="F36" s="6"/>
      <c r="G36" s="7" t="str">
        <f t="shared" si="1"/>
        <v/>
      </c>
      <c r="H36" s="7">
        <f t="array" ref="H36">IFERROR(INDEX(Produtos!I:I,MATCH(C36&amp;D36,Produtos!B:B&amp;Produtos!C:C,0)),"")</f>
        <v>0</v>
      </c>
      <c r="I36" s="7" t="str">
        <f t="shared" si="5"/>
        <v/>
      </c>
      <c r="J36" s="8"/>
      <c r="K36" s="8" t="str">
        <f t="shared" si="3"/>
        <v>Pendente</v>
      </c>
      <c r="L36" s="8"/>
      <c r="M36" s="8" t="str">
        <f t="shared" si="4"/>
        <v/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8"/>
      <c r="B37" s="8"/>
      <c r="C37" s="8"/>
      <c r="D37" s="8"/>
      <c r="E37" s="8"/>
      <c r="F37" s="6"/>
      <c r="G37" s="7" t="str">
        <f t="shared" si="1"/>
        <v/>
      </c>
      <c r="H37" s="7">
        <f t="array" ref="H37">IFERROR(INDEX(Produtos!I:I,MATCH(C37&amp;D37,Produtos!B:B&amp;Produtos!C:C,0)),"")</f>
        <v>0</v>
      </c>
      <c r="I37" s="7" t="str">
        <f t="shared" si="5"/>
        <v/>
      </c>
      <c r="J37" s="8"/>
      <c r="K37" s="8" t="str">
        <f t="shared" si="3"/>
        <v>Pendente</v>
      </c>
      <c r="L37" s="8"/>
      <c r="M37" s="8" t="str">
        <f t="shared" si="4"/>
        <v/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8"/>
      <c r="B38" s="8"/>
      <c r="C38" s="8"/>
      <c r="D38" s="8"/>
      <c r="E38" s="8"/>
      <c r="F38" s="6"/>
      <c r="G38" s="7" t="str">
        <f t="shared" si="1"/>
        <v/>
      </c>
      <c r="H38" s="7">
        <f t="array" ref="H38">IFERROR(INDEX(Produtos!I:I,MATCH(C38&amp;D38,Produtos!B:B&amp;Produtos!C:C,0)),"")</f>
        <v>0</v>
      </c>
      <c r="I38" s="7" t="str">
        <f t="shared" si="5"/>
        <v/>
      </c>
      <c r="J38" s="8"/>
      <c r="K38" s="8" t="str">
        <f t="shared" si="3"/>
        <v>Pendente</v>
      </c>
      <c r="L38" s="8"/>
      <c r="M38" s="8" t="str">
        <f t="shared" si="4"/>
        <v/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8"/>
      <c r="B39" s="8"/>
      <c r="C39" s="8"/>
      <c r="D39" s="8"/>
      <c r="E39" s="8"/>
      <c r="F39" s="6"/>
      <c r="G39" s="7" t="str">
        <f t="shared" si="1"/>
        <v/>
      </c>
      <c r="H39" s="7">
        <f t="array" ref="H39">IFERROR(INDEX(Produtos!I:I,MATCH(C39&amp;D39,Produtos!B:B&amp;Produtos!C:C,0)),"")</f>
        <v>0</v>
      </c>
      <c r="I39" s="7" t="str">
        <f t="shared" si="5"/>
        <v/>
      </c>
      <c r="J39" s="8"/>
      <c r="K39" s="8" t="str">
        <f t="shared" si="3"/>
        <v>Pendente</v>
      </c>
      <c r="L39" s="8"/>
      <c r="M39" s="8" t="str">
        <f t="shared" si="4"/>
        <v/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8"/>
      <c r="B40" s="8"/>
      <c r="C40" s="8"/>
      <c r="D40" s="8"/>
      <c r="E40" s="8"/>
      <c r="F40" s="6"/>
      <c r="G40" s="7" t="str">
        <f t="shared" si="1"/>
        <v/>
      </c>
      <c r="H40" s="7">
        <f t="array" ref="H40">IFERROR(INDEX(Produtos!I:I,MATCH(C40&amp;D40,Produtos!B:B&amp;Produtos!C:C,0)),"")</f>
        <v>0</v>
      </c>
      <c r="I40" s="7" t="str">
        <f t="shared" si="5"/>
        <v/>
      </c>
      <c r="J40" s="8"/>
      <c r="K40" s="8" t="str">
        <f t="shared" si="3"/>
        <v>Pendente</v>
      </c>
      <c r="L40" s="8"/>
      <c r="M40" s="8" t="str">
        <f t="shared" si="4"/>
        <v/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8"/>
      <c r="B41" s="8"/>
      <c r="C41" s="8"/>
      <c r="D41" s="8"/>
      <c r="E41" s="8"/>
      <c r="F41" s="6"/>
      <c r="G41" s="7" t="str">
        <f t="shared" si="1"/>
        <v/>
      </c>
      <c r="H41" s="7">
        <f t="array" ref="H41">IFERROR(INDEX(Produtos!I:I,MATCH(C41&amp;D41,Produtos!B:B&amp;Produtos!C:C,0)),"")</f>
        <v>0</v>
      </c>
      <c r="I41" s="7" t="str">
        <f t="shared" si="5"/>
        <v/>
      </c>
      <c r="J41" s="8"/>
      <c r="K41" s="8" t="str">
        <f t="shared" si="3"/>
        <v>Pendente</v>
      </c>
      <c r="L41" s="8"/>
      <c r="M41" s="8" t="str">
        <f t="shared" si="4"/>
        <v/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8"/>
      <c r="B42" s="8"/>
      <c r="C42" s="8"/>
      <c r="D42" s="8"/>
      <c r="E42" s="8"/>
      <c r="F42" s="6"/>
      <c r="G42" s="7" t="str">
        <f t="shared" si="1"/>
        <v/>
      </c>
      <c r="H42" s="7">
        <f t="array" ref="H42">IFERROR(INDEX(Produtos!I:I,MATCH(C42&amp;D42,Produtos!B:B&amp;Produtos!C:C,0)),"")</f>
        <v>0</v>
      </c>
      <c r="I42" s="7" t="str">
        <f t="shared" si="5"/>
        <v/>
      </c>
      <c r="J42" s="8"/>
      <c r="K42" s="8" t="str">
        <f t="shared" si="3"/>
        <v>Pendente</v>
      </c>
      <c r="L42" s="8"/>
      <c r="M42" s="8" t="str">
        <f t="shared" si="4"/>
        <v/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8"/>
      <c r="B43" s="8"/>
      <c r="C43" s="8"/>
      <c r="D43" s="8"/>
      <c r="E43" s="8"/>
      <c r="F43" s="6"/>
      <c r="G43" s="7" t="str">
        <f t="shared" si="1"/>
        <v/>
      </c>
      <c r="H43" s="7">
        <f t="array" ref="H43">IFERROR(INDEX(Produtos!I:I,MATCH(C43&amp;D43,Produtos!B:B&amp;Produtos!C:C,0)),"")</f>
        <v>0</v>
      </c>
      <c r="I43" s="7" t="str">
        <f t="shared" si="5"/>
        <v/>
      </c>
      <c r="J43" s="8"/>
      <c r="K43" s="8" t="str">
        <f t="shared" si="3"/>
        <v>Pendente</v>
      </c>
      <c r="L43" s="8"/>
      <c r="M43" s="8" t="str">
        <f t="shared" si="4"/>
        <v/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8"/>
      <c r="B44" s="8"/>
      <c r="C44" s="8"/>
      <c r="D44" s="8"/>
      <c r="E44" s="8"/>
      <c r="F44" s="6"/>
      <c r="G44" s="7" t="str">
        <f t="shared" si="1"/>
        <v/>
      </c>
      <c r="H44" s="7">
        <f t="array" ref="H44">IFERROR(INDEX(Produtos!I:I,MATCH(C44&amp;D44,Produtos!B:B&amp;Produtos!C:C,0)),"")</f>
        <v>0</v>
      </c>
      <c r="I44" s="7" t="str">
        <f t="shared" si="5"/>
        <v/>
      </c>
      <c r="J44" s="8"/>
      <c r="K44" s="8" t="str">
        <f t="shared" si="3"/>
        <v>Pendente</v>
      </c>
      <c r="L44" s="8"/>
      <c r="M44" s="8" t="str">
        <f t="shared" si="4"/>
        <v/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"/>
      <c r="B45" s="8"/>
      <c r="C45" s="8"/>
      <c r="D45" s="8"/>
      <c r="E45" s="8"/>
      <c r="F45" s="6"/>
      <c r="G45" s="7" t="str">
        <f t="shared" si="1"/>
        <v/>
      </c>
      <c r="H45" s="7">
        <f t="array" ref="H45">IFERROR(INDEX(Produtos!I:I,MATCH(C45&amp;D45,Produtos!B:B&amp;Produtos!C:C,0)),"")</f>
        <v>0</v>
      </c>
      <c r="I45" s="7" t="str">
        <f t="shared" si="5"/>
        <v/>
      </c>
      <c r="J45" s="8"/>
      <c r="K45" s="8" t="str">
        <f t="shared" si="3"/>
        <v>Pendente</v>
      </c>
      <c r="L45" s="8"/>
      <c r="M45" s="8" t="str">
        <f t="shared" si="4"/>
        <v/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8"/>
      <c r="B46" s="8"/>
      <c r="C46" s="8"/>
      <c r="D46" s="8"/>
      <c r="E46" s="8"/>
      <c r="F46" s="6"/>
      <c r="G46" s="7" t="str">
        <f t="shared" si="1"/>
        <v/>
      </c>
      <c r="H46" s="7">
        <f t="array" ref="H46">IFERROR(INDEX(Produtos!I:I,MATCH(C46&amp;D46,Produtos!B:B&amp;Produtos!C:C,0)),"")</f>
        <v>0</v>
      </c>
      <c r="I46" s="7" t="str">
        <f t="shared" si="5"/>
        <v/>
      </c>
      <c r="J46" s="8"/>
      <c r="K46" s="8" t="str">
        <f t="shared" si="3"/>
        <v>Pendente</v>
      </c>
      <c r="L46" s="8"/>
      <c r="M46" s="8" t="str">
        <f t="shared" si="4"/>
        <v/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8"/>
      <c r="B47" s="8"/>
      <c r="C47" s="8"/>
      <c r="D47" s="8"/>
      <c r="E47" s="8"/>
      <c r="F47" s="6"/>
      <c r="G47" s="7" t="str">
        <f t="shared" si="1"/>
        <v/>
      </c>
      <c r="H47" s="7">
        <f t="array" ref="H47">IFERROR(INDEX(Produtos!I:I,MATCH(C47&amp;D47,Produtos!B:B&amp;Produtos!C:C,0)),"")</f>
        <v>0</v>
      </c>
      <c r="I47" s="7" t="str">
        <f t="shared" si="5"/>
        <v/>
      </c>
      <c r="J47" s="8"/>
      <c r="K47" s="8" t="str">
        <f t="shared" si="3"/>
        <v>Pendente</v>
      </c>
      <c r="L47" s="8"/>
      <c r="M47" s="8" t="str">
        <f t="shared" si="4"/>
        <v/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8"/>
      <c r="B48" s="8"/>
      <c r="C48" s="8"/>
      <c r="D48" s="8"/>
      <c r="E48" s="8"/>
      <c r="F48" s="6"/>
      <c r="G48" s="7" t="str">
        <f t="shared" si="1"/>
        <v/>
      </c>
      <c r="H48" s="7">
        <f t="array" ref="H48">IFERROR(INDEX(Produtos!I:I,MATCH(C48&amp;D48,Produtos!B:B&amp;Produtos!C:C,0)),"")</f>
        <v>0</v>
      </c>
      <c r="I48" s="7" t="str">
        <f t="shared" si="5"/>
        <v/>
      </c>
      <c r="J48" s="8"/>
      <c r="K48" s="8" t="str">
        <f t="shared" si="3"/>
        <v>Pendente</v>
      </c>
      <c r="L48" s="8"/>
      <c r="M48" s="8" t="str">
        <f t="shared" si="4"/>
        <v/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8"/>
      <c r="B49" s="8"/>
      <c r="C49" s="8"/>
      <c r="D49" s="8"/>
      <c r="E49" s="8"/>
      <c r="F49" s="6"/>
      <c r="G49" s="7" t="str">
        <f t="shared" si="1"/>
        <v/>
      </c>
      <c r="H49" s="7">
        <f t="array" ref="H49">IFERROR(INDEX(Produtos!I:I,MATCH(C49&amp;D49,Produtos!B:B&amp;Produtos!C:C,0)),"")</f>
        <v>0</v>
      </c>
      <c r="I49" s="7" t="str">
        <f t="shared" si="5"/>
        <v/>
      </c>
      <c r="J49" s="8"/>
      <c r="K49" s="8" t="str">
        <f t="shared" si="3"/>
        <v>Pendente</v>
      </c>
      <c r="L49" s="8"/>
      <c r="M49" s="8" t="str">
        <f t="shared" si="4"/>
        <v/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8"/>
      <c r="B50" s="8"/>
      <c r="C50" s="8"/>
      <c r="D50" s="8"/>
      <c r="E50" s="8"/>
      <c r="F50" s="6"/>
      <c r="G50" s="7" t="str">
        <f t="shared" si="1"/>
        <v/>
      </c>
      <c r="H50" s="7">
        <f t="array" ref="H50">IFERROR(INDEX(Produtos!I:I,MATCH(C50&amp;D50,Produtos!B:B&amp;Produtos!C:C,0)),"")</f>
        <v>0</v>
      </c>
      <c r="I50" s="7" t="str">
        <f t="shared" si="5"/>
        <v/>
      </c>
      <c r="J50" s="8"/>
      <c r="K50" s="8" t="str">
        <f t="shared" si="3"/>
        <v>Pendente</v>
      </c>
      <c r="L50" s="8"/>
      <c r="M50" s="8" t="str">
        <f t="shared" si="4"/>
        <v/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8"/>
      <c r="B51" s="8"/>
      <c r="C51" s="8"/>
      <c r="D51" s="8"/>
      <c r="E51" s="8"/>
      <c r="F51" s="6"/>
      <c r="G51" s="7" t="str">
        <f t="shared" si="1"/>
        <v/>
      </c>
      <c r="H51" s="7">
        <f t="array" ref="H51">IFERROR(INDEX(Produtos!I:I,MATCH(C51&amp;D51,Produtos!B:B&amp;Produtos!C:C,0)),"")</f>
        <v>0</v>
      </c>
      <c r="I51" s="7" t="str">
        <f t="shared" si="5"/>
        <v/>
      </c>
      <c r="J51" s="8"/>
      <c r="K51" s="8" t="str">
        <f t="shared" si="3"/>
        <v>Pendente</v>
      </c>
      <c r="L51" s="8"/>
      <c r="M51" s="8" t="str">
        <f t="shared" si="4"/>
        <v/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8"/>
      <c r="B52" s="8"/>
      <c r="C52" s="8"/>
      <c r="D52" s="8"/>
      <c r="E52" s="8"/>
      <c r="F52" s="6"/>
      <c r="G52" s="7" t="str">
        <f t="shared" si="1"/>
        <v/>
      </c>
      <c r="H52" s="7">
        <f t="array" ref="H52">IFERROR(INDEX(Produtos!I:I,MATCH(C52&amp;D52,Produtos!B:B&amp;Produtos!C:C,0)),"")</f>
        <v>0</v>
      </c>
      <c r="I52" s="7" t="str">
        <f t="shared" si="5"/>
        <v/>
      </c>
      <c r="J52" s="8"/>
      <c r="K52" s="8" t="str">
        <f t="shared" si="3"/>
        <v>Pendente</v>
      </c>
      <c r="L52" s="8"/>
      <c r="M52" s="8" t="str">
        <f t="shared" si="4"/>
        <v/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8"/>
      <c r="B53" s="8"/>
      <c r="C53" s="8"/>
      <c r="D53" s="8"/>
      <c r="E53" s="8"/>
      <c r="F53" s="6"/>
      <c r="G53" s="7" t="str">
        <f t="shared" si="1"/>
        <v/>
      </c>
      <c r="H53" s="7">
        <f t="array" ref="H53">IFERROR(INDEX(Produtos!I:I,MATCH(C53&amp;D53,Produtos!B:B&amp;Produtos!C:C,0)),"")</f>
        <v>0</v>
      </c>
      <c r="I53" s="7" t="str">
        <f t="shared" si="5"/>
        <v/>
      </c>
      <c r="J53" s="8"/>
      <c r="K53" s="8" t="str">
        <f t="shared" si="3"/>
        <v>Pendente</v>
      </c>
      <c r="L53" s="8"/>
      <c r="M53" s="8" t="str">
        <f t="shared" si="4"/>
        <v/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8"/>
      <c r="B54" s="8"/>
      <c r="C54" s="8"/>
      <c r="D54" s="8"/>
      <c r="E54" s="8"/>
      <c r="F54" s="6"/>
      <c r="G54" s="7" t="str">
        <f t="shared" si="1"/>
        <v/>
      </c>
      <c r="H54" s="7">
        <f t="array" ref="H54">IFERROR(INDEX(Produtos!I:I,MATCH(C54&amp;D54,Produtos!B:B&amp;Produtos!C:C,0)),"")</f>
        <v>0</v>
      </c>
      <c r="I54" s="7" t="str">
        <f t="shared" si="5"/>
        <v/>
      </c>
      <c r="J54" s="8"/>
      <c r="K54" s="8" t="str">
        <f t="shared" si="3"/>
        <v>Pendente</v>
      </c>
      <c r="L54" s="8"/>
      <c r="M54" s="8" t="str">
        <f t="shared" si="4"/>
        <v/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8"/>
      <c r="B55" s="8"/>
      <c r="C55" s="8"/>
      <c r="D55" s="8"/>
      <c r="E55" s="8"/>
      <c r="F55" s="6"/>
      <c r="G55" s="7" t="str">
        <f t="shared" si="1"/>
        <v/>
      </c>
      <c r="H55" s="7">
        <f t="array" ref="H55">IFERROR(INDEX(Produtos!I:I,MATCH(C55&amp;D55,Produtos!B:B&amp;Produtos!C:C,0)),"")</f>
        <v>0</v>
      </c>
      <c r="I55" s="7" t="str">
        <f t="shared" si="5"/>
        <v/>
      </c>
      <c r="J55" s="8"/>
      <c r="K55" s="8" t="str">
        <f t="shared" si="3"/>
        <v>Pendente</v>
      </c>
      <c r="L55" s="8"/>
      <c r="M55" s="8" t="str">
        <f t="shared" si="4"/>
        <v/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8"/>
      <c r="B56" s="8"/>
      <c r="C56" s="8"/>
      <c r="D56" s="8"/>
      <c r="E56" s="8"/>
      <c r="F56" s="6"/>
      <c r="G56" s="7" t="str">
        <f t="shared" si="1"/>
        <v/>
      </c>
      <c r="H56" s="7">
        <f t="array" ref="H56">IFERROR(INDEX(Produtos!I:I,MATCH(C56&amp;D56,Produtos!B:B&amp;Produtos!C:C,0)),"")</f>
        <v>0</v>
      </c>
      <c r="I56" s="7" t="str">
        <f t="shared" si="5"/>
        <v/>
      </c>
      <c r="J56" s="8"/>
      <c r="K56" s="8" t="str">
        <f t="shared" si="3"/>
        <v>Pendente</v>
      </c>
      <c r="L56" s="8"/>
      <c r="M56" s="8" t="str">
        <f t="shared" si="4"/>
        <v/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8"/>
      <c r="B57" s="8"/>
      <c r="C57" s="8"/>
      <c r="D57" s="8"/>
      <c r="E57" s="8"/>
      <c r="F57" s="6"/>
      <c r="G57" s="7" t="str">
        <f t="shared" si="1"/>
        <v/>
      </c>
      <c r="H57" s="7">
        <f t="array" ref="H57">IFERROR(INDEX(Produtos!I:I,MATCH(C57&amp;D57,Produtos!B:B&amp;Produtos!C:C,0)),"")</f>
        <v>0</v>
      </c>
      <c r="I57" s="7" t="str">
        <f t="shared" si="5"/>
        <v/>
      </c>
      <c r="J57" s="8"/>
      <c r="K57" s="8" t="str">
        <f t="shared" si="3"/>
        <v>Pendente</v>
      </c>
      <c r="L57" s="8"/>
      <c r="M57" s="8" t="str">
        <f t="shared" si="4"/>
        <v/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8"/>
      <c r="B58" s="8"/>
      <c r="C58" s="8"/>
      <c r="D58" s="8"/>
      <c r="E58" s="8"/>
      <c r="F58" s="6"/>
      <c r="G58" s="7" t="str">
        <f t="shared" si="1"/>
        <v/>
      </c>
      <c r="H58" s="7">
        <f t="array" ref="H58">IFERROR(INDEX(Produtos!I:I,MATCH(C58&amp;D58,Produtos!B:B&amp;Produtos!C:C,0)),"")</f>
        <v>0</v>
      </c>
      <c r="I58" s="7" t="str">
        <f t="shared" si="5"/>
        <v/>
      </c>
      <c r="J58" s="8"/>
      <c r="K58" s="8" t="str">
        <f t="shared" si="3"/>
        <v>Pendente</v>
      </c>
      <c r="L58" s="8"/>
      <c r="M58" s="8" t="str">
        <f t="shared" si="4"/>
        <v/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8"/>
      <c r="B59" s="8"/>
      <c r="C59" s="8"/>
      <c r="D59" s="8"/>
      <c r="E59" s="8"/>
      <c r="F59" s="6"/>
      <c r="G59" s="7" t="str">
        <f t="shared" si="1"/>
        <v/>
      </c>
      <c r="H59" s="7">
        <f t="array" ref="H59">IFERROR(INDEX(Produtos!I:I,MATCH(C59&amp;D59,Produtos!B:B&amp;Produtos!C:C,0)),"")</f>
        <v>0</v>
      </c>
      <c r="I59" s="7" t="str">
        <f t="shared" si="5"/>
        <v/>
      </c>
      <c r="J59" s="8"/>
      <c r="K59" s="8" t="str">
        <f t="shared" si="3"/>
        <v>Pendente</v>
      </c>
      <c r="L59" s="8"/>
      <c r="M59" s="8" t="str">
        <f t="shared" si="4"/>
        <v/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8"/>
      <c r="B60" s="8"/>
      <c r="C60" s="8"/>
      <c r="D60" s="8"/>
      <c r="E60" s="8"/>
      <c r="F60" s="6"/>
      <c r="G60" s="7" t="str">
        <f t="shared" si="1"/>
        <v/>
      </c>
      <c r="H60" s="7">
        <f t="array" ref="H60">IFERROR(INDEX(Produtos!I:I,MATCH(C60&amp;D60,Produtos!B:B&amp;Produtos!C:C,0)),"")</f>
        <v>0</v>
      </c>
      <c r="I60" s="7" t="str">
        <f t="shared" si="5"/>
        <v/>
      </c>
      <c r="J60" s="8"/>
      <c r="K60" s="8" t="str">
        <f t="shared" si="3"/>
        <v>Pendente</v>
      </c>
      <c r="L60" s="8"/>
      <c r="M60" s="8" t="str">
        <f t="shared" si="4"/>
        <v/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8"/>
      <c r="B61" s="8"/>
      <c r="C61" s="8"/>
      <c r="D61" s="8"/>
      <c r="E61" s="8"/>
      <c r="F61" s="6"/>
      <c r="G61" s="7" t="str">
        <f t="shared" si="1"/>
        <v/>
      </c>
      <c r="H61" s="7">
        <f t="array" ref="H61">IFERROR(INDEX(Produtos!I:I,MATCH(C61&amp;D61,Produtos!B:B&amp;Produtos!C:C,0)),"")</f>
        <v>0</v>
      </c>
      <c r="I61" s="7" t="str">
        <f t="shared" si="5"/>
        <v/>
      </c>
      <c r="J61" s="8"/>
      <c r="K61" s="8" t="str">
        <f t="shared" si="3"/>
        <v>Pendente</v>
      </c>
      <c r="L61" s="8"/>
      <c r="M61" s="8" t="str">
        <f t="shared" si="4"/>
        <v/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8"/>
      <c r="B62" s="8"/>
      <c r="C62" s="8"/>
      <c r="D62" s="8"/>
      <c r="E62" s="8"/>
      <c r="F62" s="6"/>
      <c r="G62" s="7" t="str">
        <f t="shared" si="1"/>
        <v/>
      </c>
      <c r="H62" s="7">
        <f t="array" ref="H62">IFERROR(INDEX(Produtos!I:I,MATCH(C62&amp;D62,Produtos!B:B&amp;Produtos!C:C,0)),"")</f>
        <v>0</v>
      </c>
      <c r="I62" s="7" t="str">
        <f t="shared" si="5"/>
        <v/>
      </c>
      <c r="J62" s="8"/>
      <c r="K62" s="8" t="str">
        <f t="shared" si="3"/>
        <v>Pendente</v>
      </c>
      <c r="L62" s="8"/>
      <c r="M62" s="8" t="str">
        <f t="shared" si="4"/>
        <v/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8"/>
      <c r="B63" s="8"/>
      <c r="C63" s="8"/>
      <c r="D63" s="8"/>
      <c r="E63" s="8"/>
      <c r="F63" s="6"/>
      <c r="G63" s="7" t="str">
        <f t="shared" si="1"/>
        <v/>
      </c>
      <c r="H63" s="7">
        <f t="array" ref="H63">IFERROR(INDEX(Produtos!I:I,MATCH(C63&amp;D63,Produtos!B:B&amp;Produtos!C:C,0)),"")</f>
        <v>0</v>
      </c>
      <c r="I63" s="7" t="str">
        <f t="shared" si="5"/>
        <v/>
      </c>
      <c r="J63" s="8"/>
      <c r="K63" s="8" t="str">
        <f t="shared" si="3"/>
        <v>Pendente</v>
      </c>
      <c r="L63" s="8"/>
      <c r="M63" s="8" t="str">
        <f t="shared" si="4"/>
        <v/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8"/>
      <c r="B64" s="8"/>
      <c r="C64" s="8"/>
      <c r="D64" s="8"/>
      <c r="E64" s="8"/>
      <c r="F64" s="6"/>
      <c r="G64" s="7" t="str">
        <f t="shared" si="1"/>
        <v/>
      </c>
      <c r="H64" s="7">
        <f t="array" ref="H64">IFERROR(INDEX(Produtos!I:I,MATCH(C64&amp;D64,Produtos!B:B&amp;Produtos!C:C,0)),"")</f>
        <v>0</v>
      </c>
      <c r="I64" s="7" t="str">
        <f t="shared" si="5"/>
        <v/>
      </c>
      <c r="J64" s="8"/>
      <c r="K64" s="8" t="str">
        <f t="shared" si="3"/>
        <v>Pendente</v>
      </c>
      <c r="L64" s="8"/>
      <c r="M64" s="8" t="str">
        <f t="shared" si="4"/>
        <v/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8"/>
      <c r="B65" s="8"/>
      <c r="C65" s="8"/>
      <c r="D65" s="8"/>
      <c r="E65" s="8"/>
      <c r="F65" s="6"/>
      <c r="G65" s="7" t="str">
        <f t="shared" si="1"/>
        <v/>
      </c>
      <c r="H65" s="7">
        <f t="array" ref="H65">IFERROR(INDEX(Produtos!I:I,MATCH(C65&amp;D65,Produtos!B:B&amp;Produtos!C:C,0)),"")</f>
        <v>0</v>
      </c>
      <c r="I65" s="7" t="str">
        <f t="shared" si="5"/>
        <v/>
      </c>
      <c r="J65" s="8"/>
      <c r="K65" s="8" t="str">
        <f t="shared" si="3"/>
        <v>Pendente</v>
      </c>
      <c r="L65" s="8"/>
      <c r="M65" s="8" t="str">
        <f t="shared" si="4"/>
        <v/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8"/>
      <c r="B66" s="8"/>
      <c r="C66" s="8"/>
      <c r="D66" s="8"/>
      <c r="E66" s="8"/>
      <c r="F66" s="6"/>
      <c r="G66" s="7" t="str">
        <f t="shared" si="1"/>
        <v/>
      </c>
      <c r="H66" s="7">
        <f t="array" ref="H66">IFERROR(INDEX(Produtos!I:I,MATCH(C66&amp;D66,Produtos!B:B&amp;Produtos!C:C,0)),"")</f>
        <v>0</v>
      </c>
      <c r="I66" s="7" t="str">
        <f t="shared" si="5"/>
        <v/>
      </c>
      <c r="J66" s="8"/>
      <c r="K66" s="8" t="str">
        <f t="shared" si="3"/>
        <v>Pendente</v>
      </c>
      <c r="L66" s="8"/>
      <c r="M66" s="8" t="str">
        <f t="shared" si="4"/>
        <v/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8"/>
      <c r="B67" s="8"/>
      <c r="C67" s="8"/>
      <c r="D67" s="8"/>
      <c r="E67" s="8"/>
      <c r="F67" s="6"/>
      <c r="G67" s="7" t="str">
        <f t="shared" si="1"/>
        <v/>
      </c>
      <c r="H67" s="7">
        <f t="array" ref="H67">IFERROR(INDEX(Produtos!I:I,MATCH(C67&amp;D67,Produtos!B:B&amp;Produtos!C:C,0)),"")</f>
        <v>0</v>
      </c>
      <c r="I67" s="7" t="str">
        <f t="shared" si="5"/>
        <v/>
      </c>
      <c r="J67" s="8"/>
      <c r="K67" s="8" t="str">
        <f t="shared" si="3"/>
        <v>Pendente</v>
      </c>
      <c r="L67" s="8"/>
      <c r="M67" s="8" t="str">
        <f t="shared" si="4"/>
        <v/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8"/>
      <c r="B68" s="8"/>
      <c r="C68" s="8"/>
      <c r="D68" s="8"/>
      <c r="E68" s="8"/>
      <c r="F68" s="6"/>
      <c r="G68" s="7" t="str">
        <f t="shared" si="1"/>
        <v/>
      </c>
      <c r="H68" s="7">
        <f t="array" ref="H68">IFERROR(INDEX(Produtos!I:I,MATCH(C68&amp;D68,Produtos!B:B&amp;Produtos!C:C,0)),"")</f>
        <v>0</v>
      </c>
      <c r="I68" s="7" t="str">
        <f t="shared" si="5"/>
        <v/>
      </c>
      <c r="J68" s="8"/>
      <c r="K68" s="8" t="str">
        <f t="shared" si="3"/>
        <v>Pendente</v>
      </c>
      <c r="L68" s="8"/>
      <c r="M68" s="8" t="str">
        <f t="shared" si="4"/>
        <v/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8"/>
      <c r="B69" s="8"/>
      <c r="C69" s="8"/>
      <c r="D69" s="8"/>
      <c r="E69" s="8"/>
      <c r="F69" s="6"/>
      <c r="G69" s="7" t="str">
        <f t="shared" si="1"/>
        <v/>
      </c>
      <c r="H69" s="7">
        <f t="array" ref="H69">IFERROR(INDEX(Produtos!I:I,MATCH(C69&amp;D69,Produtos!B:B&amp;Produtos!C:C,0)),"")</f>
        <v>0</v>
      </c>
      <c r="I69" s="7" t="str">
        <f t="shared" si="5"/>
        <v/>
      </c>
      <c r="J69" s="8"/>
      <c r="K69" s="8" t="str">
        <f t="shared" si="3"/>
        <v>Pendente</v>
      </c>
      <c r="L69" s="8"/>
      <c r="M69" s="8" t="str">
        <f t="shared" si="4"/>
        <v/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8"/>
      <c r="B70" s="8"/>
      <c r="C70" s="8"/>
      <c r="D70" s="8"/>
      <c r="E70" s="8"/>
      <c r="F70" s="6"/>
      <c r="G70" s="7" t="str">
        <f t="shared" si="1"/>
        <v/>
      </c>
      <c r="H70" s="7">
        <f t="array" ref="H70">IFERROR(INDEX(Produtos!I:I,MATCH(C70&amp;D70,Produtos!B:B&amp;Produtos!C:C,0)),"")</f>
        <v>0</v>
      </c>
      <c r="I70" s="7" t="str">
        <f t="shared" si="5"/>
        <v/>
      </c>
      <c r="J70" s="8"/>
      <c r="K70" s="8" t="str">
        <f t="shared" si="3"/>
        <v>Pendente</v>
      </c>
      <c r="L70" s="8"/>
      <c r="M70" s="8" t="str">
        <f t="shared" si="4"/>
        <v/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8"/>
      <c r="B71" s="8"/>
      <c r="C71" s="8"/>
      <c r="D71" s="8"/>
      <c r="E71" s="8"/>
      <c r="F71" s="6"/>
      <c r="G71" s="7" t="str">
        <f t="shared" si="1"/>
        <v/>
      </c>
      <c r="H71" s="7">
        <f t="array" ref="H71">IFERROR(INDEX(Produtos!I:I,MATCH(C71&amp;D71,Produtos!B:B&amp;Produtos!C:C,0)),"")</f>
        <v>0</v>
      </c>
      <c r="I71" s="7" t="str">
        <f t="shared" si="5"/>
        <v/>
      </c>
      <c r="J71" s="8"/>
      <c r="K71" s="8" t="str">
        <f t="shared" si="3"/>
        <v>Pendente</v>
      </c>
      <c r="L71" s="8"/>
      <c r="M71" s="8" t="str">
        <f t="shared" si="4"/>
        <v/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8"/>
      <c r="B72" s="8"/>
      <c r="C72" s="8"/>
      <c r="D72" s="8"/>
      <c r="E72" s="8"/>
      <c r="F72" s="6"/>
      <c r="G72" s="7" t="str">
        <f t="shared" si="1"/>
        <v/>
      </c>
      <c r="H72" s="7">
        <f t="array" ref="H72">IFERROR(INDEX(Produtos!I:I,MATCH(C72&amp;D72,Produtos!B:B&amp;Produtos!C:C,0)),"")</f>
        <v>0</v>
      </c>
      <c r="I72" s="7" t="str">
        <f t="shared" si="5"/>
        <v/>
      </c>
      <c r="J72" s="8"/>
      <c r="K72" s="8" t="str">
        <f t="shared" si="3"/>
        <v>Pendente</v>
      </c>
      <c r="L72" s="8"/>
      <c r="M72" s="8" t="str">
        <f t="shared" si="4"/>
        <v/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8"/>
      <c r="B73" s="8"/>
      <c r="C73" s="8"/>
      <c r="D73" s="8"/>
      <c r="E73" s="8"/>
      <c r="F73" s="6"/>
      <c r="G73" s="7" t="str">
        <f t="shared" si="1"/>
        <v/>
      </c>
      <c r="H73" s="7">
        <f t="array" ref="H73">IFERROR(INDEX(Produtos!I:I,MATCH(C73&amp;D73,Produtos!B:B&amp;Produtos!C:C,0)),"")</f>
        <v>0</v>
      </c>
      <c r="I73" s="7" t="str">
        <f t="shared" si="5"/>
        <v/>
      </c>
      <c r="J73" s="8"/>
      <c r="K73" s="8" t="str">
        <f t="shared" si="3"/>
        <v>Pendente</v>
      </c>
      <c r="L73" s="8"/>
      <c r="M73" s="8" t="str">
        <f t="shared" si="4"/>
        <v/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8"/>
      <c r="B74" s="8"/>
      <c r="C74" s="8"/>
      <c r="D74" s="8"/>
      <c r="E74" s="8"/>
      <c r="F74" s="6"/>
      <c r="G74" s="7" t="str">
        <f t="shared" si="1"/>
        <v/>
      </c>
      <c r="H74" s="7">
        <f t="array" ref="H74">IFERROR(INDEX(Produtos!I:I,MATCH(C74&amp;D74,Produtos!B:B&amp;Produtos!C:C,0)),"")</f>
        <v>0</v>
      </c>
      <c r="I74" s="7" t="str">
        <f t="shared" si="5"/>
        <v/>
      </c>
      <c r="J74" s="8"/>
      <c r="K74" s="8" t="str">
        <f t="shared" si="3"/>
        <v>Pendente</v>
      </c>
      <c r="L74" s="8"/>
      <c r="M74" s="8" t="str">
        <f t="shared" si="4"/>
        <v/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8"/>
      <c r="B75" s="8"/>
      <c r="C75" s="8"/>
      <c r="D75" s="8"/>
      <c r="E75" s="8"/>
      <c r="F75" s="6"/>
      <c r="G75" s="7" t="str">
        <f t="shared" si="1"/>
        <v/>
      </c>
      <c r="H75" s="7">
        <f t="array" ref="H75">IFERROR(INDEX(Produtos!I:I,MATCH(C75&amp;D75,Produtos!B:B&amp;Produtos!C:C,0)),"")</f>
        <v>0</v>
      </c>
      <c r="I75" s="7" t="str">
        <f t="shared" si="5"/>
        <v/>
      </c>
      <c r="J75" s="8"/>
      <c r="K75" s="8" t="str">
        <f t="shared" si="3"/>
        <v>Pendente</v>
      </c>
      <c r="L75" s="8"/>
      <c r="M75" s="8" t="str">
        <f t="shared" si="4"/>
        <v/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8"/>
      <c r="B76" s="8"/>
      <c r="C76" s="8"/>
      <c r="D76" s="8"/>
      <c r="E76" s="8"/>
      <c r="F76" s="6"/>
      <c r="G76" s="7" t="str">
        <f t="shared" si="1"/>
        <v/>
      </c>
      <c r="H76" s="7">
        <f t="array" ref="H76">IFERROR(INDEX(Produtos!I:I,MATCH(C76&amp;D76,Produtos!B:B&amp;Produtos!C:C,0)),"")</f>
        <v>0</v>
      </c>
      <c r="I76" s="7" t="str">
        <f t="shared" si="5"/>
        <v/>
      </c>
      <c r="J76" s="8"/>
      <c r="K76" s="8" t="str">
        <f t="shared" si="3"/>
        <v>Pendente</v>
      </c>
      <c r="L76" s="8"/>
      <c r="M76" s="8" t="str">
        <f t="shared" si="4"/>
        <v/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8"/>
      <c r="B77" s="8"/>
      <c r="C77" s="8"/>
      <c r="D77" s="8"/>
      <c r="E77" s="8"/>
      <c r="F77" s="6"/>
      <c r="G77" s="7" t="str">
        <f t="shared" si="1"/>
        <v/>
      </c>
      <c r="H77" s="7">
        <f t="array" ref="H77">IFERROR(INDEX(Produtos!I:I,MATCH(C77&amp;D77,Produtos!B:B&amp;Produtos!C:C,0)),"")</f>
        <v>0</v>
      </c>
      <c r="I77" s="7" t="str">
        <f t="shared" si="5"/>
        <v/>
      </c>
      <c r="J77" s="8"/>
      <c r="K77" s="8" t="str">
        <f t="shared" si="3"/>
        <v>Pendente</v>
      </c>
      <c r="L77" s="8"/>
      <c r="M77" s="8" t="str">
        <f t="shared" si="4"/>
        <v/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8"/>
      <c r="B78" s="8"/>
      <c r="C78" s="8"/>
      <c r="D78" s="8"/>
      <c r="E78" s="8"/>
      <c r="F78" s="6"/>
      <c r="G78" s="7" t="str">
        <f t="shared" si="1"/>
        <v/>
      </c>
      <c r="H78" s="7">
        <f t="array" ref="H78">IFERROR(INDEX(Produtos!I:I,MATCH(C78&amp;D78,Produtos!B:B&amp;Produtos!C:C,0)),"")</f>
        <v>0</v>
      </c>
      <c r="I78" s="7" t="str">
        <f t="shared" si="5"/>
        <v/>
      </c>
      <c r="J78" s="8"/>
      <c r="K78" s="8" t="str">
        <f t="shared" si="3"/>
        <v>Pendente</v>
      </c>
      <c r="L78" s="8"/>
      <c r="M78" s="8" t="str">
        <f t="shared" si="4"/>
        <v/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8"/>
      <c r="B79" s="8"/>
      <c r="C79" s="8"/>
      <c r="D79" s="8"/>
      <c r="E79" s="8"/>
      <c r="F79" s="6"/>
      <c r="G79" s="7" t="str">
        <f t="shared" si="1"/>
        <v/>
      </c>
      <c r="H79" s="7">
        <f t="array" ref="H79">IFERROR(INDEX(Produtos!I:I,MATCH(C79&amp;D79,Produtos!B:B&amp;Produtos!C:C,0)),"")</f>
        <v>0</v>
      </c>
      <c r="I79" s="7" t="str">
        <f t="shared" si="5"/>
        <v/>
      </c>
      <c r="J79" s="8"/>
      <c r="K79" s="8" t="str">
        <f t="shared" si="3"/>
        <v>Pendente</v>
      </c>
      <c r="L79" s="8"/>
      <c r="M79" s="8" t="str">
        <f t="shared" si="4"/>
        <v/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8"/>
      <c r="B80" s="8"/>
      <c r="C80" s="8"/>
      <c r="D80" s="8"/>
      <c r="E80" s="8"/>
      <c r="F80" s="6"/>
      <c r="G80" s="7" t="str">
        <f t="shared" si="1"/>
        <v/>
      </c>
      <c r="H80" s="7">
        <f t="array" ref="H80">IFERROR(INDEX(Produtos!I:I,MATCH(C80&amp;D80,Produtos!B:B&amp;Produtos!C:C,0)),"")</f>
        <v>0</v>
      </c>
      <c r="I80" s="7" t="str">
        <f t="shared" si="5"/>
        <v/>
      </c>
      <c r="J80" s="8"/>
      <c r="K80" s="8" t="str">
        <f t="shared" si="3"/>
        <v>Pendente</v>
      </c>
      <c r="L80" s="8"/>
      <c r="M80" s="8" t="str">
        <f t="shared" si="4"/>
        <v/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8"/>
      <c r="B81" s="8"/>
      <c r="C81" s="8"/>
      <c r="D81" s="8"/>
      <c r="E81" s="8"/>
      <c r="F81" s="6"/>
      <c r="G81" s="7" t="str">
        <f t="shared" si="1"/>
        <v/>
      </c>
      <c r="H81" s="7">
        <f t="array" ref="H81">IFERROR(INDEX(Produtos!I:I,MATCH(C81&amp;D81,Produtos!B:B&amp;Produtos!C:C,0)),"")</f>
        <v>0</v>
      </c>
      <c r="I81" s="7" t="str">
        <f t="shared" si="5"/>
        <v/>
      </c>
      <c r="J81" s="8"/>
      <c r="K81" s="8" t="str">
        <f t="shared" si="3"/>
        <v>Pendente</v>
      </c>
      <c r="L81" s="8"/>
      <c r="M81" s="8" t="str">
        <f t="shared" si="4"/>
        <v/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8"/>
      <c r="B82" s="8"/>
      <c r="C82" s="8"/>
      <c r="D82" s="8"/>
      <c r="E82" s="8"/>
      <c r="F82" s="6"/>
      <c r="G82" s="7" t="str">
        <f t="shared" si="1"/>
        <v/>
      </c>
      <c r="H82" s="7">
        <f t="array" ref="H82">IFERROR(INDEX(Produtos!I:I,MATCH(C82&amp;D82,Produtos!B:B&amp;Produtos!C:C,0)),"")</f>
        <v>0</v>
      </c>
      <c r="I82" s="7" t="str">
        <f t="shared" si="5"/>
        <v/>
      </c>
      <c r="J82" s="8"/>
      <c r="K82" s="8" t="str">
        <f t="shared" si="3"/>
        <v>Pendente</v>
      </c>
      <c r="L82" s="8"/>
      <c r="M82" s="8" t="str">
        <f t="shared" si="4"/>
        <v/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8"/>
      <c r="B83" s="8"/>
      <c r="C83" s="8"/>
      <c r="D83" s="8"/>
      <c r="E83" s="8"/>
      <c r="F83" s="6"/>
      <c r="G83" s="7" t="str">
        <f t="shared" si="1"/>
        <v/>
      </c>
      <c r="H83" s="7">
        <f t="array" ref="H83">IFERROR(INDEX(Produtos!I:I,MATCH(C83&amp;D83,Produtos!B:B&amp;Produtos!C:C,0)),"")</f>
        <v>0</v>
      </c>
      <c r="I83" s="7" t="str">
        <f t="shared" si="5"/>
        <v/>
      </c>
      <c r="J83" s="8"/>
      <c r="K83" s="8" t="str">
        <f t="shared" si="3"/>
        <v>Pendente</v>
      </c>
      <c r="L83" s="8"/>
      <c r="M83" s="8" t="str">
        <f t="shared" si="4"/>
        <v/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8"/>
      <c r="B84" s="8"/>
      <c r="C84" s="8"/>
      <c r="D84" s="8"/>
      <c r="E84" s="8"/>
      <c r="F84" s="6"/>
      <c r="G84" s="7" t="str">
        <f t="shared" si="1"/>
        <v/>
      </c>
      <c r="H84" s="7">
        <f t="array" ref="H84">IFERROR(INDEX(Produtos!I:I,MATCH(C84&amp;D84,Produtos!B:B&amp;Produtos!C:C,0)),"")</f>
        <v>0</v>
      </c>
      <c r="I84" s="7" t="str">
        <f t="shared" si="5"/>
        <v/>
      </c>
      <c r="J84" s="8"/>
      <c r="K84" s="8" t="str">
        <f t="shared" si="3"/>
        <v>Pendente</v>
      </c>
      <c r="L84" s="8"/>
      <c r="M84" s="8" t="str">
        <f t="shared" si="4"/>
        <v/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8"/>
      <c r="B85" s="8"/>
      <c r="C85" s="8"/>
      <c r="D85" s="8"/>
      <c r="E85" s="8"/>
      <c r="F85" s="6"/>
      <c r="G85" s="7" t="str">
        <f t="shared" si="1"/>
        <v/>
      </c>
      <c r="H85" s="7">
        <f t="array" ref="H85">IFERROR(INDEX(Produtos!I:I,MATCH(C85&amp;D85,Produtos!B:B&amp;Produtos!C:C,0)),"")</f>
        <v>0</v>
      </c>
      <c r="I85" s="7" t="str">
        <f t="shared" si="5"/>
        <v/>
      </c>
      <c r="J85" s="8"/>
      <c r="K85" s="8" t="str">
        <f t="shared" si="3"/>
        <v>Pendente</v>
      </c>
      <c r="L85" s="8"/>
      <c r="M85" s="8" t="str">
        <f t="shared" si="4"/>
        <v/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8"/>
      <c r="B86" s="8"/>
      <c r="C86" s="8"/>
      <c r="D86" s="8"/>
      <c r="E86" s="8"/>
      <c r="F86" s="6"/>
      <c r="G86" s="7" t="str">
        <f t="shared" si="1"/>
        <v/>
      </c>
      <c r="H86" s="7">
        <f t="array" ref="H86">IFERROR(INDEX(Produtos!I:I,MATCH(C86&amp;D86,Produtos!B:B&amp;Produtos!C:C,0)),"")</f>
        <v>0</v>
      </c>
      <c r="I86" s="7" t="str">
        <f t="shared" si="5"/>
        <v/>
      </c>
      <c r="J86" s="8"/>
      <c r="K86" s="8" t="str">
        <f t="shared" si="3"/>
        <v>Pendente</v>
      </c>
      <c r="L86" s="8"/>
      <c r="M86" s="8" t="str">
        <f t="shared" si="4"/>
        <v/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8"/>
      <c r="B87" s="8"/>
      <c r="C87" s="8"/>
      <c r="D87" s="8"/>
      <c r="E87" s="8"/>
      <c r="F87" s="6"/>
      <c r="G87" s="7" t="str">
        <f t="shared" si="1"/>
        <v/>
      </c>
      <c r="H87" s="7">
        <f t="array" ref="H87">IFERROR(INDEX(Produtos!I:I,MATCH(C87&amp;D87,Produtos!B:B&amp;Produtos!C:C,0)),"")</f>
        <v>0</v>
      </c>
      <c r="I87" s="7" t="str">
        <f t="shared" si="5"/>
        <v/>
      </c>
      <c r="J87" s="8"/>
      <c r="K87" s="8" t="str">
        <f t="shared" si="3"/>
        <v>Pendente</v>
      </c>
      <c r="L87" s="8"/>
      <c r="M87" s="8" t="str">
        <f t="shared" si="4"/>
        <v/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8"/>
      <c r="B88" s="8"/>
      <c r="C88" s="8"/>
      <c r="D88" s="8"/>
      <c r="E88" s="8"/>
      <c r="F88" s="6"/>
      <c r="G88" s="7" t="str">
        <f t="shared" si="1"/>
        <v/>
      </c>
      <c r="H88" s="7">
        <f t="array" ref="H88">IFERROR(INDEX(Produtos!I:I,MATCH(C88&amp;D88,Produtos!B:B&amp;Produtos!C:C,0)),"")</f>
        <v>0</v>
      </c>
      <c r="I88" s="7" t="str">
        <f t="shared" si="5"/>
        <v/>
      </c>
      <c r="J88" s="8"/>
      <c r="K88" s="8" t="str">
        <f t="shared" si="3"/>
        <v>Pendente</v>
      </c>
      <c r="L88" s="8"/>
      <c r="M88" s="8" t="str">
        <f t="shared" si="4"/>
        <v/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8"/>
      <c r="B89" s="8"/>
      <c r="C89" s="8"/>
      <c r="D89" s="8"/>
      <c r="E89" s="8"/>
      <c r="F89" s="6"/>
      <c r="G89" s="7" t="str">
        <f t="shared" si="1"/>
        <v/>
      </c>
      <c r="H89" s="7">
        <f t="array" ref="H89">IFERROR(INDEX(Produtos!I:I,MATCH(C89&amp;D89,Produtos!B:B&amp;Produtos!C:C,0)),"")</f>
        <v>0</v>
      </c>
      <c r="I89" s="7" t="str">
        <f t="shared" si="5"/>
        <v/>
      </c>
      <c r="J89" s="8"/>
      <c r="K89" s="8" t="str">
        <f t="shared" si="3"/>
        <v>Pendente</v>
      </c>
      <c r="L89" s="8"/>
      <c r="M89" s="8" t="str">
        <f t="shared" si="4"/>
        <v/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8"/>
      <c r="B90" s="8"/>
      <c r="C90" s="8"/>
      <c r="D90" s="8"/>
      <c r="E90" s="8"/>
      <c r="F90" s="6"/>
      <c r="G90" s="7" t="str">
        <f t="shared" si="1"/>
        <v/>
      </c>
      <c r="H90" s="7">
        <f t="array" ref="H90">IFERROR(INDEX(Produtos!I:I,MATCH(C90&amp;D90,Produtos!B:B&amp;Produtos!C:C,0)),"")</f>
        <v>0</v>
      </c>
      <c r="I90" s="7" t="str">
        <f t="shared" si="5"/>
        <v/>
      </c>
      <c r="J90" s="8"/>
      <c r="K90" s="8" t="str">
        <f t="shared" si="3"/>
        <v>Pendente</v>
      </c>
      <c r="L90" s="8"/>
      <c r="M90" s="8" t="str">
        <f t="shared" si="4"/>
        <v/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8"/>
      <c r="B91" s="8"/>
      <c r="C91" s="8"/>
      <c r="D91" s="8"/>
      <c r="E91" s="8"/>
      <c r="F91" s="6"/>
      <c r="G91" s="7" t="str">
        <f t="shared" si="1"/>
        <v/>
      </c>
      <c r="H91" s="7">
        <f t="array" ref="H91">IFERROR(INDEX(Produtos!I:I,MATCH(C91&amp;D91,Produtos!B:B&amp;Produtos!C:C,0)),"")</f>
        <v>0</v>
      </c>
      <c r="I91" s="7" t="str">
        <f t="shared" si="5"/>
        <v/>
      </c>
      <c r="J91" s="8"/>
      <c r="K91" s="8" t="str">
        <f t="shared" si="3"/>
        <v>Pendente</v>
      </c>
      <c r="L91" s="8"/>
      <c r="M91" s="8" t="str">
        <f t="shared" si="4"/>
        <v/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8"/>
      <c r="B92" s="8"/>
      <c r="C92" s="8"/>
      <c r="D92" s="8"/>
      <c r="E92" s="8"/>
      <c r="F92" s="6"/>
      <c r="G92" s="7" t="str">
        <f t="shared" si="1"/>
        <v/>
      </c>
      <c r="H92" s="7">
        <f t="array" ref="H92">IFERROR(INDEX(Produtos!I:I,MATCH(C92&amp;D92,Produtos!B:B&amp;Produtos!C:C,0)),"")</f>
        <v>0</v>
      </c>
      <c r="I92" s="7" t="str">
        <f t="shared" si="5"/>
        <v/>
      </c>
      <c r="J92" s="8"/>
      <c r="K92" s="8" t="str">
        <f t="shared" si="3"/>
        <v>Pendente</v>
      </c>
      <c r="L92" s="8"/>
      <c r="M92" s="8" t="str">
        <f t="shared" si="4"/>
        <v/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8"/>
      <c r="B93" s="8"/>
      <c r="C93" s="8"/>
      <c r="D93" s="8"/>
      <c r="E93" s="8"/>
      <c r="F93" s="6"/>
      <c r="G93" s="7" t="str">
        <f t="shared" si="1"/>
        <v/>
      </c>
      <c r="H93" s="7">
        <f t="array" ref="H93">IFERROR(INDEX(Produtos!I:I,MATCH(C93&amp;D93,Produtos!B:B&amp;Produtos!C:C,0)),"")</f>
        <v>0</v>
      </c>
      <c r="I93" s="7" t="str">
        <f t="shared" si="5"/>
        <v/>
      </c>
      <c r="J93" s="8"/>
      <c r="K93" s="8" t="str">
        <f t="shared" si="3"/>
        <v>Pendente</v>
      </c>
      <c r="L93" s="8"/>
      <c r="M93" s="8" t="str">
        <f t="shared" si="4"/>
        <v/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8"/>
      <c r="B94" s="8"/>
      <c r="C94" s="8"/>
      <c r="D94" s="8"/>
      <c r="E94" s="8"/>
      <c r="F94" s="6"/>
      <c r="G94" s="7" t="str">
        <f t="shared" si="1"/>
        <v/>
      </c>
      <c r="H94" s="7">
        <f t="array" ref="H94">IFERROR(INDEX(Produtos!I:I,MATCH(C94&amp;D94,Produtos!B:B&amp;Produtos!C:C,0)),"")</f>
        <v>0</v>
      </c>
      <c r="I94" s="7" t="str">
        <f t="shared" si="5"/>
        <v/>
      </c>
      <c r="J94" s="8"/>
      <c r="K94" s="8" t="str">
        <f t="shared" si="3"/>
        <v>Pendente</v>
      </c>
      <c r="L94" s="8"/>
      <c r="M94" s="8" t="str">
        <f t="shared" si="4"/>
        <v/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8"/>
      <c r="B95" s="8"/>
      <c r="C95" s="8"/>
      <c r="D95" s="8"/>
      <c r="E95" s="8"/>
      <c r="F95" s="6"/>
      <c r="G95" s="7" t="str">
        <f t="shared" si="1"/>
        <v/>
      </c>
      <c r="H95" s="7">
        <f t="array" ref="H95">IFERROR(INDEX(Produtos!I:I,MATCH(C95&amp;D95,Produtos!B:B&amp;Produtos!C:C,0)),"")</f>
        <v>0</v>
      </c>
      <c r="I95" s="7" t="str">
        <f t="shared" si="5"/>
        <v/>
      </c>
      <c r="J95" s="8"/>
      <c r="K95" s="8" t="str">
        <f t="shared" si="3"/>
        <v>Pendente</v>
      </c>
      <c r="L95" s="8"/>
      <c r="M95" s="8" t="str">
        <f t="shared" si="4"/>
        <v/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8"/>
      <c r="B96" s="8"/>
      <c r="C96" s="8"/>
      <c r="D96" s="8"/>
      <c r="E96" s="8"/>
      <c r="F96" s="6"/>
      <c r="G96" s="7" t="str">
        <f t="shared" si="1"/>
        <v/>
      </c>
      <c r="H96" s="7">
        <f t="array" ref="H96">IFERROR(INDEX(Produtos!I:I,MATCH(C96&amp;D96,Produtos!B:B&amp;Produtos!C:C,0)),"")</f>
        <v>0</v>
      </c>
      <c r="I96" s="7" t="str">
        <f t="shared" si="5"/>
        <v/>
      </c>
      <c r="J96" s="8"/>
      <c r="K96" s="8" t="str">
        <f t="shared" si="3"/>
        <v>Pendente</v>
      </c>
      <c r="L96" s="8"/>
      <c r="M96" s="8" t="str">
        <f t="shared" si="4"/>
        <v/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8"/>
      <c r="B97" s="8"/>
      <c r="C97" s="8"/>
      <c r="D97" s="8"/>
      <c r="E97" s="8"/>
      <c r="F97" s="6"/>
      <c r="G97" s="7" t="str">
        <f t="shared" si="1"/>
        <v/>
      </c>
      <c r="H97" s="7">
        <f t="array" ref="H97">IFERROR(INDEX(Produtos!I:I,MATCH(C97&amp;D97,Produtos!B:B&amp;Produtos!C:C,0)),"")</f>
        <v>0</v>
      </c>
      <c r="I97" s="7" t="str">
        <f t="shared" si="5"/>
        <v/>
      </c>
      <c r="J97" s="8"/>
      <c r="K97" s="8" t="str">
        <f t="shared" si="3"/>
        <v>Pendente</v>
      </c>
      <c r="L97" s="8"/>
      <c r="M97" s="8" t="str">
        <f t="shared" si="4"/>
        <v/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8"/>
      <c r="B98" s="8"/>
      <c r="C98" s="8"/>
      <c r="D98" s="8"/>
      <c r="E98" s="8"/>
      <c r="F98" s="6"/>
      <c r="G98" s="7" t="str">
        <f t="shared" si="1"/>
        <v/>
      </c>
      <c r="H98" s="7">
        <f t="array" ref="H98">IFERROR(INDEX(Produtos!I:I,MATCH(C98&amp;D98,Produtos!B:B&amp;Produtos!C:C,0)),"")</f>
        <v>0</v>
      </c>
      <c r="I98" s="7" t="str">
        <f t="shared" si="5"/>
        <v/>
      </c>
      <c r="J98" s="8"/>
      <c r="K98" s="8" t="str">
        <f t="shared" si="3"/>
        <v>Pendente</v>
      </c>
      <c r="L98" s="8"/>
      <c r="M98" s="8" t="str">
        <f t="shared" si="4"/>
        <v/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8"/>
      <c r="B99" s="8"/>
      <c r="C99" s="8"/>
      <c r="D99" s="8"/>
      <c r="E99" s="8"/>
      <c r="F99" s="6"/>
      <c r="G99" s="7" t="str">
        <f t="shared" si="1"/>
        <v/>
      </c>
      <c r="H99" s="7">
        <f t="array" ref="H99">IFERROR(INDEX(Produtos!I:I,MATCH(C99&amp;D99,Produtos!B:B&amp;Produtos!C:C,0)),"")</f>
        <v>0</v>
      </c>
      <c r="I99" s="7" t="str">
        <f t="shared" si="5"/>
        <v/>
      </c>
      <c r="J99" s="8"/>
      <c r="K99" s="8" t="str">
        <f t="shared" si="3"/>
        <v>Pendente</v>
      </c>
      <c r="L99" s="8"/>
      <c r="M99" s="8" t="str">
        <f t="shared" si="4"/>
        <v/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8"/>
      <c r="B100" s="8"/>
      <c r="C100" s="8"/>
      <c r="D100" s="8"/>
      <c r="E100" s="8"/>
      <c r="F100" s="6"/>
      <c r="G100" s="7" t="str">
        <f t="shared" si="1"/>
        <v/>
      </c>
      <c r="H100" s="7">
        <f t="array" ref="H100">IFERROR(INDEX(Produtos!I:I,MATCH(C100&amp;D100,Produtos!B:B&amp;Produtos!C:C,0)),"")</f>
        <v>0</v>
      </c>
      <c r="I100" s="7" t="str">
        <f t="shared" si="5"/>
        <v/>
      </c>
      <c r="J100" s="8"/>
      <c r="K100" s="8" t="str">
        <f t="shared" si="3"/>
        <v>Pendente</v>
      </c>
      <c r="L100" s="8"/>
      <c r="M100" s="8" t="str">
        <f t="shared" si="4"/>
        <v/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8"/>
      <c r="B101" s="8"/>
      <c r="C101" s="8"/>
      <c r="D101" s="8"/>
      <c r="E101" s="8"/>
      <c r="F101" s="6"/>
      <c r="G101" s="7" t="str">
        <f t="shared" si="1"/>
        <v/>
      </c>
      <c r="H101" s="7">
        <f t="array" ref="H101">IFERROR(INDEX(Produtos!I:I,MATCH(C101&amp;D101,Produtos!B:B&amp;Produtos!C:C,0)),"")</f>
        <v>0</v>
      </c>
      <c r="I101" s="7" t="str">
        <f t="shared" si="5"/>
        <v/>
      </c>
      <c r="J101" s="8"/>
      <c r="K101" s="8" t="str">
        <f t="shared" si="3"/>
        <v>Pendente</v>
      </c>
      <c r="L101" s="8"/>
      <c r="M101" s="8" t="str">
        <f t="shared" si="4"/>
        <v/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8"/>
      <c r="B102" s="8"/>
      <c r="C102" s="8"/>
      <c r="D102" s="8"/>
      <c r="E102" s="8"/>
      <c r="F102" s="6"/>
      <c r="G102" s="7" t="str">
        <f t="shared" si="1"/>
        <v/>
      </c>
      <c r="H102" s="7">
        <f t="array" ref="H102">IFERROR(INDEX(Produtos!I:I,MATCH(C102&amp;D102,Produtos!B:B&amp;Produtos!C:C,0)),"")</f>
        <v>0</v>
      </c>
      <c r="I102" s="7" t="str">
        <f t="shared" si="5"/>
        <v/>
      </c>
      <c r="J102" s="8"/>
      <c r="K102" s="8" t="str">
        <f t="shared" si="3"/>
        <v>Pendente</v>
      </c>
      <c r="L102" s="8"/>
      <c r="M102" s="8" t="str">
        <f t="shared" si="4"/>
        <v/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8"/>
      <c r="B103" s="8"/>
      <c r="C103" s="8"/>
      <c r="D103" s="8"/>
      <c r="E103" s="8"/>
      <c r="F103" s="6"/>
      <c r="G103" s="7" t="str">
        <f t="shared" si="1"/>
        <v/>
      </c>
      <c r="H103" s="7">
        <f t="array" ref="H103">IFERROR(INDEX(Produtos!I:I,MATCH(C103&amp;D103,Produtos!B:B&amp;Produtos!C:C,0)),"")</f>
        <v>0</v>
      </c>
      <c r="I103" s="7" t="str">
        <f t="shared" si="5"/>
        <v/>
      </c>
      <c r="J103" s="8"/>
      <c r="K103" s="8" t="str">
        <f t="shared" si="3"/>
        <v>Pendente</v>
      </c>
      <c r="L103" s="8"/>
      <c r="M103" s="8" t="str">
        <f t="shared" si="4"/>
        <v/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8"/>
      <c r="B104" s="8"/>
      <c r="C104" s="8"/>
      <c r="D104" s="8"/>
      <c r="E104" s="8"/>
      <c r="F104" s="6"/>
      <c r="G104" s="7" t="str">
        <f t="shared" si="1"/>
        <v/>
      </c>
      <c r="H104" s="7">
        <f t="array" ref="H104">IFERROR(INDEX(Produtos!I:I,MATCH(C104&amp;D104,Produtos!B:B&amp;Produtos!C:C,0)),"")</f>
        <v>0</v>
      </c>
      <c r="I104" s="7" t="str">
        <f t="shared" si="5"/>
        <v/>
      </c>
      <c r="J104" s="8"/>
      <c r="K104" s="8" t="str">
        <f t="shared" si="3"/>
        <v>Pendente</v>
      </c>
      <c r="L104" s="8"/>
      <c r="M104" s="8" t="str">
        <f t="shared" si="4"/>
        <v/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8"/>
      <c r="B105" s="8"/>
      <c r="C105" s="8"/>
      <c r="D105" s="8"/>
      <c r="E105" s="8"/>
      <c r="F105" s="6"/>
      <c r="G105" s="7" t="str">
        <f t="shared" si="1"/>
        <v/>
      </c>
      <c r="H105" s="7">
        <f t="array" ref="H105">IFERROR(INDEX(Produtos!I:I,MATCH(C105&amp;D105,Produtos!B:B&amp;Produtos!C:C,0)),"")</f>
        <v>0</v>
      </c>
      <c r="I105" s="7" t="str">
        <f t="shared" si="5"/>
        <v/>
      </c>
      <c r="J105" s="8"/>
      <c r="K105" s="8" t="str">
        <f t="shared" si="3"/>
        <v>Pendente</v>
      </c>
      <c r="L105" s="8"/>
      <c r="M105" s="8" t="str">
        <f t="shared" si="4"/>
        <v/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8"/>
      <c r="B106" s="8"/>
      <c r="C106" s="8"/>
      <c r="D106" s="8"/>
      <c r="E106" s="8"/>
      <c r="F106" s="6"/>
      <c r="G106" s="7" t="str">
        <f t="shared" si="1"/>
        <v/>
      </c>
      <c r="H106" s="7">
        <f t="array" ref="H106">IFERROR(INDEX(Produtos!I:I,MATCH(C106&amp;D106,Produtos!B:B&amp;Produtos!C:C,0)),"")</f>
        <v>0</v>
      </c>
      <c r="I106" s="7" t="str">
        <f t="shared" si="5"/>
        <v/>
      </c>
      <c r="J106" s="8"/>
      <c r="K106" s="8" t="str">
        <f t="shared" si="3"/>
        <v>Pendente</v>
      </c>
      <c r="L106" s="8"/>
      <c r="M106" s="8" t="str">
        <f t="shared" si="4"/>
        <v/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8"/>
      <c r="B107" s="8"/>
      <c r="C107" s="8"/>
      <c r="D107" s="8"/>
      <c r="E107" s="8"/>
      <c r="F107" s="6"/>
      <c r="G107" s="7" t="str">
        <f t="shared" si="1"/>
        <v/>
      </c>
      <c r="H107" s="7">
        <f t="array" ref="H107">IFERROR(INDEX(Produtos!I:I,MATCH(C107&amp;D107,Produtos!B:B&amp;Produtos!C:C,0)),"")</f>
        <v>0</v>
      </c>
      <c r="I107" s="7" t="str">
        <f t="shared" si="5"/>
        <v/>
      </c>
      <c r="J107" s="8"/>
      <c r="K107" s="8" t="str">
        <f t="shared" si="3"/>
        <v>Pendente</v>
      </c>
      <c r="L107" s="8"/>
      <c r="M107" s="8" t="str">
        <f t="shared" si="4"/>
        <v/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8"/>
      <c r="B108" s="8"/>
      <c r="C108" s="8"/>
      <c r="D108" s="8"/>
      <c r="E108" s="8"/>
      <c r="F108" s="6"/>
      <c r="G108" s="7" t="str">
        <f t="shared" si="1"/>
        <v/>
      </c>
      <c r="H108" s="7">
        <f t="array" ref="H108">IFERROR(INDEX(Produtos!I:I,MATCH(C108&amp;D108,Produtos!B:B&amp;Produtos!C:C,0)),"")</f>
        <v>0</v>
      </c>
      <c r="I108" s="7" t="str">
        <f t="shared" si="5"/>
        <v/>
      </c>
      <c r="J108" s="8"/>
      <c r="K108" s="8" t="str">
        <f t="shared" si="3"/>
        <v>Pendente</v>
      </c>
      <c r="L108" s="8"/>
      <c r="M108" s="8" t="str">
        <f t="shared" si="4"/>
        <v/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8"/>
      <c r="B109" s="8"/>
      <c r="C109" s="8"/>
      <c r="D109" s="8"/>
      <c r="E109" s="8"/>
      <c r="F109" s="6"/>
      <c r="G109" s="7" t="str">
        <f t="shared" si="1"/>
        <v/>
      </c>
      <c r="H109" s="7">
        <f t="array" ref="H109">IFERROR(INDEX(Produtos!I:I,MATCH(C109&amp;D109,Produtos!B:B&amp;Produtos!C:C,0)),"")</f>
        <v>0</v>
      </c>
      <c r="I109" s="7" t="str">
        <f t="shared" si="5"/>
        <v/>
      </c>
      <c r="J109" s="8"/>
      <c r="K109" s="8" t="str">
        <f t="shared" si="3"/>
        <v>Pendente</v>
      </c>
      <c r="L109" s="8"/>
      <c r="M109" s="8" t="str">
        <f t="shared" si="4"/>
        <v/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8"/>
      <c r="B110" s="8"/>
      <c r="C110" s="8"/>
      <c r="D110" s="8"/>
      <c r="E110" s="8"/>
      <c r="F110" s="6"/>
      <c r="G110" s="7" t="str">
        <f t="shared" si="1"/>
        <v/>
      </c>
      <c r="H110" s="7">
        <f t="array" ref="H110">IFERROR(INDEX(Produtos!I:I,MATCH(C110&amp;D110,Produtos!B:B&amp;Produtos!C:C,0)),"")</f>
        <v>0</v>
      </c>
      <c r="I110" s="7" t="str">
        <f t="shared" si="5"/>
        <v/>
      </c>
      <c r="J110" s="8"/>
      <c r="K110" s="8" t="str">
        <f t="shared" si="3"/>
        <v>Pendente</v>
      </c>
      <c r="L110" s="8"/>
      <c r="M110" s="8" t="str">
        <f t="shared" si="4"/>
        <v/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8"/>
      <c r="B111" s="8"/>
      <c r="C111" s="8"/>
      <c r="D111" s="8"/>
      <c r="E111" s="8"/>
      <c r="F111" s="6"/>
      <c r="G111" s="7" t="str">
        <f t="shared" si="1"/>
        <v/>
      </c>
      <c r="H111" s="7">
        <f t="array" ref="H111">IFERROR(INDEX(Produtos!I:I,MATCH(C111&amp;D111,Produtos!B:B&amp;Produtos!C:C,0)),"")</f>
        <v>0</v>
      </c>
      <c r="I111" s="7" t="str">
        <f t="shared" si="5"/>
        <v/>
      </c>
      <c r="J111" s="8"/>
      <c r="K111" s="8" t="str">
        <f t="shared" si="3"/>
        <v>Pendente</v>
      </c>
      <c r="L111" s="8"/>
      <c r="M111" s="8" t="str">
        <f t="shared" si="4"/>
        <v/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8"/>
      <c r="B112" s="8"/>
      <c r="C112" s="8"/>
      <c r="D112" s="8"/>
      <c r="E112" s="8"/>
      <c r="F112" s="6"/>
      <c r="G112" s="7" t="str">
        <f t="shared" si="1"/>
        <v/>
      </c>
      <c r="H112" s="7">
        <f t="array" ref="H112">IFERROR(INDEX(Produtos!I:I,MATCH(C112&amp;D112,Produtos!B:B&amp;Produtos!C:C,0)),"")</f>
        <v>0</v>
      </c>
      <c r="I112" s="7" t="str">
        <f t="shared" si="5"/>
        <v/>
      </c>
      <c r="J112" s="8"/>
      <c r="K112" s="8" t="str">
        <f t="shared" si="3"/>
        <v>Pendente</v>
      </c>
      <c r="L112" s="8"/>
      <c r="M112" s="8" t="str">
        <f t="shared" si="4"/>
        <v/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8"/>
      <c r="B113" s="8"/>
      <c r="C113" s="8"/>
      <c r="D113" s="8"/>
      <c r="E113" s="8"/>
      <c r="F113" s="6"/>
      <c r="G113" s="7" t="str">
        <f t="shared" si="1"/>
        <v/>
      </c>
      <c r="H113" s="7">
        <f t="array" ref="H113">IFERROR(INDEX(Produtos!I:I,MATCH(C113&amp;D113,Produtos!B:B&amp;Produtos!C:C,0)),"")</f>
        <v>0</v>
      </c>
      <c r="I113" s="7" t="str">
        <f t="shared" si="5"/>
        <v/>
      </c>
      <c r="J113" s="8"/>
      <c r="K113" s="8" t="str">
        <f t="shared" si="3"/>
        <v>Pendente</v>
      </c>
      <c r="L113" s="8"/>
      <c r="M113" s="8" t="str">
        <f t="shared" si="4"/>
        <v/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8"/>
      <c r="B114" s="8"/>
      <c r="C114" s="8"/>
      <c r="D114" s="8"/>
      <c r="E114" s="8"/>
      <c r="F114" s="6"/>
      <c r="G114" s="7" t="str">
        <f t="shared" si="1"/>
        <v/>
      </c>
      <c r="H114" s="7">
        <f t="array" ref="H114">IFERROR(INDEX(Produtos!I:I,MATCH(C114&amp;D114,Produtos!B:B&amp;Produtos!C:C,0)),"")</f>
        <v>0</v>
      </c>
      <c r="I114" s="7" t="str">
        <f t="shared" si="5"/>
        <v/>
      </c>
      <c r="J114" s="8"/>
      <c r="K114" s="8" t="str">
        <f t="shared" si="3"/>
        <v>Pendente</v>
      </c>
      <c r="L114" s="8"/>
      <c r="M114" s="8" t="str">
        <f t="shared" si="4"/>
        <v/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8"/>
      <c r="B115" s="8"/>
      <c r="C115" s="8"/>
      <c r="D115" s="8"/>
      <c r="E115" s="8"/>
      <c r="F115" s="6"/>
      <c r="G115" s="7" t="str">
        <f t="shared" si="1"/>
        <v/>
      </c>
      <c r="H115" s="7">
        <f t="array" ref="H115">IFERROR(INDEX(Produtos!I:I,MATCH(C115&amp;D115,Produtos!B:B&amp;Produtos!C:C,0)),"")</f>
        <v>0</v>
      </c>
      <c r="I115" s="7" t="str">
        <f t="shared" si="5"/>
        <v/>
      </c>
      <c r="J115" s="8"/>
      <c r="K115" s="8" t="str">
        <f t="shared" si="3"/>
        <v>Pendente</v>
      </c>
      <c r="L115" s="8"/>
      <c r="M115" s="8" t="str">
        <f t="shared" si="4"/>
        <v/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8"/>
      <c r="B116" s="8"/>
      <c r="C116" s="8"/>
      <c r="D116" s="8"/>
      <c r="E116" s="8"/>
      <c r="F116" s="6"/>
      <c r="G116" s="7" t="str">
        <f t="shared" si="1"/>
        <v/>
      </c>
      <c r="H116" s="7">
        <f t="array" ref="H116">IFERROR(INDEX(Produtos!I:I,MATCH(C116&amp;D116,Produtos!B:B&amp;Produtos!C:C,0)),"")</f>
        <v>0</v>
      </c>
      <c r="I116" s="7" t="str">
        <f t="shared" si="5"/>
        <v/>
      </c>
      <c r="J116" s="8"/>
      <c r="K116" s="8" t="str">
        <f t="shared" si="3"/>
        <v>Pendente</v>
      </c>
      <c r="L116" s="8"/>
      <c r="M116" s="8" t="str">
        <f t="shared" si="4"/>
        <v/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8"/>
      <c r="B117" s="8"/>
      <c r="C117" s="8"/>
      <c r="D117" s="8"/>
      <c r="E117" s="8"/>
      <c r="F117" s="6"/>
      <c r="G117" s="7" t="str">
        <f t="shared" si="1"/>
        <v/>
      </c>
      <c r="H117" s="7">
        <f t="array" ref="H117">IFERROR(INDEX(Produtos!I:I,MATCH(C117&amp;D117,Produtos!B:B&amp;Produtos!C:C,0)),"")</f>
        <v>0</v>
      </c>
      <c r="I117" s="7" t="str">
        <f t="shared" si="5"/>
        <v/>
      </c>
      <c r="J117" s="8"/>
      <c r="K117" s="8" t="str">
        <f t="shared" si="3"/>
        <v>Pendente</v>
      </c>
      <c r="L117" s="8"/>
      <c r="M117" s="8" t="str">
        <f t="shared" si="4"/>
        <v/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8"/>
      <c r="B118" s="8"/>
      <c r="C118" s="8"/>
      <c r="D118" s="8"/>
      <c r="E118" s="8"/>
      <c r="F118" s="6"/>
      <c r="G118" s="7" t="str">
        <f t="shared" si="1"/>
        <v/>
      </c>
      <c r="H118" s="7">
        <f t="array" ref="H118">IFERROR(INDEX(Produtos!I:I,MATCH(C118&amp;D118,Produtos!B:B&amp;Produtos!C:C,0)),"")</f>
        <v>0</v>
      </c>
      <c r="I118" s="7" t="str">
        <f t="shared" si="5"/>
        <v/>
      </c>
      <c r="J118" s="8"/>
      <c r="K118" s="8" t="str">
        <f t="shared" si="3"/>
        <v>Pendente</v>
      </c>
      <c r="L118" s="8"/>
      <c r="M118" s="8" t="str">
        <f t="shared" si="4"/>
        <v/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8"/>
      <c r="B119" s="8"/>
      <c r="C119" s="8"/>
      <c r="D119" s="8"/>
      <c r="E119" s="8"/>
      <c r="F119" s="6"/>
      <c r="G119" s="7" t="str">
        <f t="shared" si="1"/>
        <v/>
      </c>
      <c r="H119" s="7">
        <f t="array" ref="H119">IFERROR(INDEX(Produtos!I:I,MATCH(C119&amp;D119,Produtos!B:B&amp;Produtos!C:C,0)),"")</f>
        <v>0</v>
      </c>
      <c r="I119" s="7" t="str">
        <f t="shared" si="5"/>
        <v/>
      </c>
      <c r="J119" s="8"/>
      <c r="K119" s="8" t="str">
        <f t="shared" si="3"/>
        <v>Pendente</v>
      </c>
      <c r="L119" s="8"/>
      <c r="M119" s="8" t="str">
        <f t="shared" si="4"/>
        <v/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8"/>
      <c r="B120" s="8"/>
      <c r="C120" s="8"/>
      <c r="D120" s="8"/>
      <c r="E120" s="8"/>
      <c r="F120" s="6"/>
      <c r="G120" s="7" t="str">
        <f t="shared" si="1"/>
        <v/>
      </c>
      <c r="H120" s="7">
        <f t="array" ref="H120">IFERROR(INDEX(Produtos!I:I,MATCH(C120&amp;D120,Produtos!B:B&amp;Produtos!C:C,0)),"")</f>
        <v>0</v>
      </c>
      <c r="I120" s="7" t="str">
        <f t="shared" si="5"/>
        <v/>
      </c>
      <c r="J120" s="8"/>
      <c r="K120" s="8" t="str">
        <f t="shared" si="3"/>
        <v>Pendente</v>
      </c>
      <c r="L120" s="8"/>
      <c r="M120" s="8" t="str">
        <f t="shared" si="4"/>
        <v/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8"/>
      <c r="B121" s="8"/>
      <c r="C121" s="8"/>
      <c r="D121" s="8"/>
      <c r="E121" s="8"/>
      <c r="F121" s="6"/>
      <c r="G121" s="7" t="str">
        <f t="shared" si="1"/>
        <v/>
      </c>
      <c r="H121" s="7">
        <f t="array" ref="H121">IFERROR(INDEX(Produtos!I:I,MATCH(C121&amp;D121,Produtos!B:B&amp;Produtos!C:C,0)),"")</f>
        <v>0</v>
      </c>
      <c r="I121" s="7" t="str">
        <f t="shared" si="5"/>
        <v/>
      </c>
      <c r="J121" s="8"/>
      <c r="K121" s="8" t="str">
        <f t="shared" si="3"/>
        <v>Pendente</v>
      </c>
      <c r="L121" s="8"/>
      <c r="M121" s="8" t="str">
        <f t="shared" si="4"/>
        <v/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8"/>
      <c r="B122" s="8"/>
      <c r="C122" s="8"/>
      <c r="D122" s="8"/>
      <c r="E122" s="8"/>
      <c r="F122" s="6"/>
      <c r="G122" s="7" t="str">
        <f t="shared" si="1"/>
        <v/>
      </c>
      <c r="H122" s="7">
        <f t="array" ref="H122">IFERROR(INDEX(Produtos!I:I,MATCH(C122&amp;D122,Produtos!B:B&amp;Produtos!C:C,0)),"")</f>
        <v>0</v>
      </c>
      <c r="I122" s="7" t="str">
        <f t="shared" si="5"/>
        <v/>
      </c>
      <c r="J122" s="8"/>
      <c r="K122" s="8" t="str">
        <f t="shared" si="3"/>
        <v>Pendente</v>
      </c>
      <c r="L122" s="8"/>
      <c r="M122" s="8" t="str">
        <f t="shared" si="4"/>
        <v/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8"/>
      <c r="B123" s="8"/>
      <c r="C123" s="8"/>
      <c r="D123" s="8"/>
      <c r="E123" s="8"/>
      <c r="F123" s="6"/>
      <c r="G123" s="7" t="str">
        <f t="shared" si="1"/>
        <v/>
      </c>
      <c r="H123" s="7">
        <f t="array" ref="H123">IFERROR(INDEX(Produtos!I:I,MATCH(C123&amp;D123,Produtos!B:B&amp;Produtos!C:C,0)),"")</f>
        <v>0</v>
      </c>
      <c r="I123" s="7" t="str">
        <f t="shared" si="5"/>
        <v/>
      </c>
      <c r="J123" s="8"/>
      <c r="K123" s="8" t="str">
        <f t="shared" si="3"/>
        <v>Pendente</v>
      </c>
      <c r="L123" s="8"/>
      <c r="M123" s="8" t="str">
        <f t="shared" si="4"/>
        <v/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8"/>
      <c r="B124" s="8"/>
      <c r="C124" s="8"/>
      <c r="D124" s="8"/>
      <c r="E124" s="8"/>
      <c r="F124" s="6"/>
      <c r="G124" s="7" t="str">
        <f t="shared" si="1"/>
        <v/>
      </c>
      <c r="H124" s="7">
        <f t="array" ref="H124">IFERROR(INDEX(Produtos!I:I,MATCH(C124&amp;D124,Produtos!B:B&amp;Produtos!C:C,0)),"")</f>
        <v>0</v>
      </c>
      <c r="I124" s="7" t="str">
        <f t="shared" si="5"/>
        <v/>
      </c>
      <c r="J124" s="8"/>
      <c r="K124" s="8" t="str">
        <f t="shared" si="3"/>
        <v>Pendente</v>
      </c>
      <c r="L124" s="8"/>
      <c r="M124" s="8" t="str">
        <f t="shared" si="4"/>
        <v/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8"/>
      <c r="B125" s="8"/>
      <c r="C125" s="8"/>
      <c r="D125" s="8"/>
      <c r="E125" s="8"/>
      <c r="F125" s="6"/>
      <c r="G125" s="7" t="str">
        <f t="shared" si="1"/>
        <v/>
      </c>
      <c r="H125" s="7">
        <f t="array" ref="H125">IFERROR(INDEX(Produtos!I:I,MATCH(C125&amp;D125,Produtos!B:B&amp;Produtos!C:C,0)),"")</f>
        <v>0</v>
      </c>
      <c r="I125" s="7" t="str">
        <f t="shared" si="5"/>
        <v/>
      </c>
      <c r="J125" s="8"/>
      <c r="K125" s="8" t="str">
        <f t="shared" si="3"/>
        <v>Pendente</v>
      </c>
      <c r="L125" s="8"/>
      <c r="M125" s="8" t="str">
        <f t="shared" si="4"/>
        <v/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8"/>
      <c r="B126" s="8"/>
      <c r="C126" s="8"/>
      <c r="D126" s="8"/>
      <c r="E126" s="8"/>
      <c r="F126" s="6"/>
      <c r="G126" s="7" t="str">
        <f t="shared" si="1"/>
        <v/>
      </c>
      <c r="H126" s="7">
        <f t="array" ref="H126">IFERROR(INDEX(Produtos!I:I,MATCH(C126&amp;D126,Produtos!B:B&amp;Produtos!C:C,0)),"")</f>
        <v>0</v>
      </c>
      <c r="I126" s="7" t="str">
        <f t="shared" si="5"/>
        <v/>
      </c>
      <c r="J126" s="8"/>
      <c r="K126" s="8" t="str">
        <f t="shared" si="3"/>
        <v>Pendente</v>
      </c>
      <c r="L126" s="8"/>
      <c r="M126" s="8" t="str">
        <f t="shared" si="4"/>
        <v/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8"/>
      <c r="B127" s="8"/>
      <c r="C127" s="8"/>
      <c r="D127" s="8"/>
      <c r="E127" s="8"/>
      <c r="F127" s="6"/>
      <c r="G127" s="7" t="str">
        <f t="shared" si="1"/>
        <v/>
      </c>
      <c r="H127" s="7">
        <f t="array" ref="H127">IFERROR(INDEX(Produtos!I:I,MATCH(C127&amp;D127,Produtos!B:B&amp;Produtos!C:C,0)),"")</f>
        <v>0</v>
      </c>
      <c r="I127" s="7" t="str">
        <f t="shared" si="5"/>
        <v/>
      </c>
      <c r="J127" s="8"/>
      <c r="K127" s="8" t="str">
        <f t="shared" si="3"/>
        <v>Pendente</v>
      </c>
      <c r="L127" s="8"/>
      <c r="M127" s="8" t="str">
        <f t="shared" si="4"/>
        <v/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8"/>
      <c r="B128" s="8"/>
      <c r="C128" s="8"/>
      <c r="D128" s="8"/>
      <c r="E128" s="8"/>
      <c r="F128" s="6"/>
      <c r="G128" s="7" t="str">
        <f t="shared" si="1"/>
        <v/>
      </c>
      <c r="H128" s="7">
        <f t="array" ref="H128">IFERROR(INDEX(Produtos!I:I,MATCH(C128&amp;D128,Produtos!B:B&amp;Produtos!C:C,0)),"")</f>
        <v>0</v>
      </c>
      <c r="I128" s="7" t="str">
        <f t="shared" si="5"/>
        <v/>
      </c>
      <c r="J128" s="8"/>
      <c r="K128" s="8" t="str">
        <f t="shared" si="3"/>
        <v>Pendente</v>
      </c>
      <c r="L128" s="8"/>
      <c r="M128" s="8" t="str">
        <f t="shared" si="4"/>
        <v/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8"/>
      <c r="B129" s="8"/>
      <c r="C129" s="8"/>
      <c r="D129" s="8"/>
      <c r="E129" s="8"/>
      <c r="F129" s="6"/>
      <c r="G129" s="7" t="str">
        <f t="shared" si="1"/>
        <v/>
      </c>
      <c r="H129" s="7">
        <f t="array" ref="H129">IFERROR(INDEX(Produtos!I:I,MATCH(C129&amp;D129,Produtos!B:B&amp;Produtos!C:C,0)),"")</f>
        <v>0</v>
      </c>
      <c r="I129" s="7" t="str">
        <f t="shared" si="5"/>
        <v/>
      </c>
      <c r="J129" s="8"/>
      <c r="K129" s="8" t="str">
        <f t="shared" si="3"/>
        <v>Pendente</v>
      </c>
      <c r="L129" s="8"/>
      <c r="M129" s="8" t="str">
        <f t="shared" si="4"/>
        <v/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8"/>
      <c r="B130" s="8"/>
      <c r="C130" s="8"/>
      <c r="D130" s="8"/>
      <c r="E130" s="8"/>
      <c r="F130" s="6"/>
      <c r="G130" s="7" t="str">
        <f t="shared" si="1"/>
        <v/>
      </c>
      <c r="H130" s="7">
        <f t="array" ref="H130">IFERROR(INDEX(Produtos!I:I,MATCH(C130&amp;D130,Produtos!B:B&amp;Produtos!C:C,0)),"")</f>
        <v>0</v>
      </c>
      <c r="I130" s="7" t="str">
        <f t="shared" si="5"/>
        <v/>
      </c>
      <c r="J130" s="8"/>
      <c r="K130" s="8" t="str">
        <f t="shared" si="3"/>
        <v>Pendente</v>
      </c>
      <c r="L130" s="8"/>
      <c r="M130" s="8" t="str">
        <f t="shared" si="4"/>
        <v/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8"/>
      <c r="B131" s="8"/>
      <c r="C131" s="8"/>
      <c r="D131" s="8"/>
      <c r="E131" s="8"/>
      <c r="F131" s="6"/>
      <c r="G131" s="7" t="str">
        <f t="shared" si="1"/>
        <v/>
      </c>
      <c r="H131" s="7">
        <f t="array" ref="H131">IFERROR(INDEX(Produtos!I:I,MATCH(C131&amp;D131,Produtos!B:B&amp;Produtos!C:C,0)),"")</f>
        <v>0</v>
      </c>
      <c r="I131" s="7" t="str">
        <f t="shared" si="5"/>
        <v/>
      </c>
      <c r="J131" s="8"/>
      <c r="K131" s="8" t="str">
        <f t="shared" si="3"/>
        <v>Pendente</v>
      </c>
      <c r="L131" s="8"/>
      <c r="M131" s="8" t="str">
        <f t="shared" si="4"/>
        <v/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8"/>
      <c r="B132" s="8"/>
      <c r="C132" s="8"/>
      <c r="D132" s="8"/>
      <c r="E132" s="8"/>
      <c r="F132" s="6"/>
      <c r="G132" s="7" t="str">
        <f t="shared" si="1"/>
        <v/>
      </c>
      <c r="H132" s="7">
        <f t="array" ref="H132">IFERROR(INDEX(Produtos!I:I,MATCH(C132&amp;D132,Produtos!B:B&amp;Produtos!C:C,0)),"")</f>
        <v>0</v>
      </c>
      <c r="I132" s="7" t="str">
        <f t="shared" si="5"/>
        <v/>
      </c>
      <c r="J132" s="8"/>
      <c r="K132" s="8" t="str">
        <f t="shared" si="3"/>
        <v>Pendente</v>
      </c>
      <c r="L132" s="8"/>
      <c r="M132" s="8" t="str">
        <f t="shared" si="4"/>
        <v/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8"/>
      <c r="B133" s="8"/>
      <c r="C133" s="8"/>
      <c r="D133" s="8"/>
      <c r="E133" s="8"/>
      <c r="F133" s="6"/>
      <c r="G133" s="7" t="str">
        <f t="shared" si="1"/>
        <v/>
      </c>
      <c r="H133" s="7">
        <f t="array" ref="H133">IFERROR(INDEX(Produtos!I:I,MATCH(C133&amp;D133,Produtos!B:B&amp;Produtos!C:C,0)),"")</f>
        <v>0</v>
      </c>
      <c r="I133" s="7" t="str">
        <f t="shared" si="5"/>
        <v/>
      </c>
      <c r="J133" s="8"/>
      <c r="K133" s="8" t="str">
        <f t="shared" si="3"/>
        <v>Pendente</v>
      </c>
      <c r="L133" s="8"/>
      <c r="M133" s="8" t="str">
        <f t="shared" si="4"/>
        <v/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8"/>
      <c r="B134" s="8"/>
      <c r="C134" s="8"/>
      <c r="D134" s="8"/>
      <c r="E134" s="8"/>
      <c r="F134" s="6"/>
      <c r="G134" s="7" t="str">
        <f t="shared" si="1"/>
        <v/>
      </c>
      <c r="H134" s="7">
        <f t="array" ref="H134">IFERROR(INDEX(Produtos!I:I,MATCH(C134&amp;D134,Produtos!B:B&amp;Produtos!C:C,0)),"")</f>
        <v>0</v>
      </c>
      <c r="I134" s="7" t="str">
        <f t="shared" si="5"/>
        <v/>
      </c>
      <c r="J134" s="8"/>
      <c r="K134" s="8" t="str">
        <f t="shared" si="3"/>
        <v>Pendente</v>
      </c>
      <c r="L134" s="8"/>
      <c r="M134" s="8" t="str">
        <f t="shared" si="4"/>
        <v/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8"/>
      <c r="B135" s="8"/>
      <c r="C135" s="8"/>
      <c r="D135" s="8"/>
      <c r="E135" s="8"/>
      <c r="F135" s="6"/>
      <c r="G135" s="7" t="str">
        <f t="shared" si="1"/>
        <v/>
      </c>
      <c r="H135" s="7">
        <f t="array" ref="H135">IFERROR(INDEX(Produtos!I:I,MATCH(C135&amp;D135,Produtos!B:B&amp;Produtos!C:C,0)),"")</f>
        <v>0</v>
      </c>
      <c r="I135" s="7" t="str">
        <f t="shared" si="5"/>
        <v/>
      </c>
      <c r="J135" s="8"/>
      <c r="K135" s="8" t="str">
        <f t="shared" si="3"/>
        <v>Pendente</v>
      </c>
      <c r="L135" s="8"/>
      <c r="M135" s="8" t="str">
        <f t="shared" si="4"/>
        <v/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8"/>
      <c r="B136" s="8"/>
      <c r="C136" s="8"/>
      <c r="D136" s="8"/>
      <c r="E136" s="8"/>
      <c r="F136" s="6"/>
      <c r="G136" s="7" t="str">
        <f t="shared" si="1"/>
        <v/>
      </c>
      <c r="H136" s="7">
        <f t="array" ref="H136">IFERROR(INDEX(Produtos!I:I,MATCH(C136&amp;D136,Produtos!B:B&amp;Produtos!C:C,0)),"")</f>
        <v>0</v>
      </c>
      <c r="I136" s="7" t="str">
        <f t="shared" si="5"/>
        <v/>
      </c>
      <c r="J136" s="8"/>
      <c r="K136" s="8" t="str">
        <f t="shared" si="3"/>
        <v>Pendente</v>
      </c>
      <c r="L136" s="8"/>
      <c r="M136" s="8" t="str">
        <f t="shared" si="4"/>
        <v/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8"/>
      <c r="B137" s="8"/>
      <c r="C137" s="8"/>
      <c r="D137" s="8"/>
      <c r="E137" s="8"/>
      <c r="F137" s="6"/>
      <c r="G137" s="7" t="str">
        <f t="shared" si="1"/>
        <v/>
      </c>
      <c r="H137" s="7">
        <f t="array" ref="H137">IFERROR(INDEX(Produtos!I:I,MATCH(C137&amp;D137,Produtos!B:B&amp;Produtos!C:C,0)),"")</f>
        <v>0</v>
      </c>
      <c r="I137" s="7" t="str">
        <f t="shared" si="5"/>
        <v/>
      </c>
      <c r="J137" s="8"/>
      <c r="K137" s="8" t="str">
        <f t="shared" si="3"/>
        <v>Pendente</v>
      </c>
      <c r="L137" s="8"/>
      <c r="M137" s="8" t="str">
        <f t="shared" si="4"/>
        <v/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8"/>
      <c r="B138" s="8"/>
      <c r="C138" s="8"/>
      <c r="D138" s="8"/>
      <c r="E138" s="8"/>
      <c r="F138" s="6"/>
      <c r="G138" s="7" t="str">
        <f t="shared" si="1"/>
        <v/>
      </c>
      <c r="H138" s="7">
        <f t="array" ref="H138">IFERROR(INDEX(Produtos!I:I,MATCH(C138&amp;D138,Produtos!B:B&amp;Produtos!C:C,0)),"")</f>
        <v>0</v>
      </c>
      <c r="I138" s="7" t="str">
        <f t="shared" si="5"/>
        <v/>
      </c>
      <c r="J138" s="8"/>
      <c r="K138" s="8" t="str">
        <f t="shared" si="3"/>
        <v>Pendente</v>
      </c>
      <c r="L138" s="8"/>
      <c r="M138" s="8" t="str">
        <f t="shared" si="4"/>
        <v/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8"/>
      <c r="B139" s="8"/>
      <c r="C139" s="8"/>
      <c r="D139" s="8"/>
      <c r="E139" s="8"/>
      <c r="F139" s="6"/>
      <c r="G139" s="7" t="str">
        <f t="shared" si="1"/>
        <v/>
      </c>
      <c r="H139" s="7">
        <f t="array" ref="H139">IFERROR(INDEX(Produtos!I:I,MATCH(C139&amp;D139,Produtos!B:B&amp;Produtos!C:C,0)),"")</f>
        <v>0</v>
      </c>
      <c r="I139" s="7" t="str">
        <f t="shared" si="5"/>
        <v/>
      </c>
      <c r="J139" s="8"/>
      <c r="K139" s="8" t="str">
        <f t="shared" si="3"/>
        <v>Pendente</v>
      </c>
      <c r="L139" s="8"/>
      <c r="M139" s="8" t="str">
        <f t="shared" si="4"/>
        <v/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8"/>
      <c r="B140" s="8"/>
      <c r="C140" s="8"/>
      <c r="D140" s="8"/>
      <c r="E140" s="8"/>
      <c r="F140" s="6"/>
      <c r="G140" s="7" t="str">
        <f t="shared" si="1"/>
        <v/>
      </c>
      <c r="H140" s="7">
        <f t="array" ref="H140">IFERROR(INDEX(Produtos!I:I,MATCH(C140&amp;D140,Produtos!B:B&amp;Produtos!C:C,0)),"")</f>
        <v>0</v>
      </c>
      <c r="I140" s="7" t="str">
        <f t="shared" si="5"/>
        <v/>
      </c>
      <c r="J140" s="8"/>
      <c r="K140" s="8" t="str">
        <f t="shared" si="3"/>
        <v>Pendente</v>
      </c>
      <c r="L140" s="8"/>
      <c r="M140" s="8" t="str">
        <f t="shared" si="4"/>
        <v/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8"/>
      <c r="B141" s="8"/>
      <c r="C141" s="8"/>
      <c r="D141" s="8"/>
      <c r="E141" s="8"/>
      <c r="F141" s="6"/>
      <c r="G141" s="7" t="str">
        <f t="shared" si="1"/>
        <v/>
      </c>
      <c r="H141" s="7">
        <f t="array" ref="H141">IFERROR(INDEX(Produtos!I:I,MATCH(C141&amp;D141,Produtos!B:B&amp;Produtos!C:C,0)),"")</f>
        <v>0</v>
      </c>
      <c r="I141" s="7" t="str">
        <f t="shared" si="5"/>
        <v/>
      </c>
      <c r="J141" s="8"/>
      <c r="K141" s="8" t="str">
        <f t="shared" si="3"/>
        <v>Pendente</v>
      </c>
      <c r="L141" s="8"/>
      <c r="M141" s="8" t="str">
        <f t="shared" si="4"/>
        <v/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8"/>
      <c r="B142" s="8"/>
      <c r="C142" s="8"/>
      <c r="D142" s="8"/>
      <c r="E142" s="8"/>
      <c r="F142" s="6"/>
      <c r="G142" s="7" t="str">
        <f t="shared" si="1"/>
        <v/>
      </c>
      <c r="H142" s="7">
        <f t="array" ref="H142">IFERROR(INDEX(Produtos!I:I,MATCH(C142&amp;D142,Produtos!B:B&amp;Produtos!C:C,0)),"")</f>
        <v>0</v>
      </c>
      <c r="I142" s="7" t="str">
        <f t="shared" si="5"/>
        <v/>
      </c>
      <c r="J142" s="8"/>
      <c r="K142" s="8" t="str">
        <f t="shared" si="3"/>
        <v>Pendente</v>
      </c>
      <c r="L142" s="8"/>
      <c r="M142" s="8" t="str">
        <f t="shared" si="4"/>
        <v/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8"/>
      <c r="B143" s="8"/>
      <c r="C143" s="8"/>
      <c r="D143" s="8"/>
      <c r="E143" s="8"/>
      <c r="F143" s="6"/>
      <c r="G143" s="7" t="str">
        <f t="shared" si="1"/>
        <v/>
      </c>
      <c r="H143" s="7">
        <f t="array" ref="H143">IFERROR(INDEX(Produtos!I:I,MATCH(C143&amp;D143,Produtos!B:B&amp;Produtos!C:C,0)),"")</f>
        <v>0</v>
      </c>
      <c r="I143" s="7" t="str">
        <f t="shared" si="5"/>
        <v/>
      </c>
      <c r="J143" s="8"/>
      <c r="K143" s="8" t="str">
        <f t="shared" si="3"/>
        <v>Pendente</v>
      </c>
      <c r="L143" s="8"/>
      <c r="M143" s="8" t="str">
        <f t="shared" si="4"/>
        <v/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8"/>
      <c r="B144" s="8"/>
      <c r="C144" s="8"/>
      <c r="D144" s="8"/>
      <c r="E144" s="8"/>
      <c r="F144" s="6"/>
      <c r="G144" s="7" t="str">
        <f t="shared" si="1"/>
        <v/>
      </c>
      <c r="H144" s="7">
        <f t="array" ref="H144">IFERROR(INDEX(Produtos!I:I,MATCH(C144&amp;D144,Produtos!B:B&amp;Produtos!C:C,0)),"")</f>
        <v>0</v>
      </c>
      <c r="I144" s="7" t="str">
        <f t="shared" si="5"/>
        <v/>
      </c>
      <c r="J144" s="8"/>
      <c r="K144" s="8" t="str">
        <f t="shared" si="3"/>
        <v>Pendente</v>
      </c>
      <c r="L144" s="8"/>
      <c r="M144" s="8" t="str">
        <f t="shared" si="4"/>
        <v/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8"/>
      <c r="B145" s="8"/>
      <c r="C145" s="8"/>
      <c r="D145" s="8"/>
      <c r="E145" s="8"/>
      <c r="F145" s="6"/>
      <c r="G145" s="7" t="str">
        <f t="shared" si="1"/>
        <v/>
      </c>
      <c r="H145" s="7">
        <f t="array" ref="H145">IFERROR(INDEX(Produtos!I:I,MATCH(C145&amp;D145,Produtos!B:B&amp;Produtos!C:C,0)),"")</f>
        <v>0</v>
      </c>
      <c r="I145" s="7" t="str">
        <f t="shared" si="5"/>
        <v/>
      </c>
      <c r="J145" s="8"/>
      <c r="K145" s="8" t="str">
        <f t="shared" si="3"/>
        <v>Pendente</v>
      </c>
      <c r="L145" s="8"/>
      <c r="M145" s="8" t="str">
        <f t="shared" si="4"/>
        <v/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8"/>
      <c r="B146" s="8"/>
      <c r="C146" s="8"/>
      <c r="D146" s="8"/>
      <c r="E146" s="8"/>
      <c r="F146" s="6"/>
      <c r="G146" s="7" t="str">
        <f t="shared" si="1"/>
        <v/>
      </c>
      <c r="H146" s="7">
        <f t="array" ref="H146">IFERROR(INDEX(Produtos!I:I,MATCH(C146&amp;D146,Produtos!B:B&amp;Produtos!C:C,0)),"")</f>
        <v>0</v>
      </c>
      <c r="I146" s="7" t="str">
        <f t="shared" si="5"/>
        <v/>
      </c>
      <c r="J146" s="8"/>
      <c r="K146" s="8" t="str">
        <f t="shared" si="3"/>
        <v>Pendente</v>
      </c>
      <c r="L146" s="8"/>
      <c r="M146" s="8" t="str">
        <f t="shared" si="4"/>
        <v/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8"/>
      <c r="B147" s="8"/>
      <c r="C147" s="8"/>
      <c r="D147" s="8"/>
      <c r="E147" s="8"/>
      <c r="F147" s="6"/>
      <c r="G147" s="7" t="str">
        <f t="shared" si="1"/>
        <v/>
      </c>
      <c r="H147" s="7">
        <f t="array" ref="H147">IFERROR(INDEX(Produtos!I:I,MATCH(C147&amp;D147,Produtos!B:B&amp;Produtos!C:C,0)),"")</f>
        <v>0</v>
      </c>
      <c r="I147" s="7" t="str">
        <f t="shared" si="5"/>
        <v/>
      </c>
      <c r="J147" s="8"/>
      <c r="K147" s="8" t="str">
        <f t="shared" si="3"/>
        <v>Pendente</v>
      </c>
      <c r="L147" s="8"/>
      <c r="M147" s="8" t="str">
        <f t="shared" si="4"/>
        <v/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8"/>
      <c r="B148" s="8"/>
      <c r="C148" s="8"/>
      <c r="D148" s="8"/>
      <c r="E148" s="8"/>
      <c r="F148" s="6"/>
      <c r="G148" s="7" t="str">
        <f t="shared" si="1"/>
        <v/>
      </c>
      <c r="H148" s="7">
        <f t="array" ref="H148">IFERROR(INDEX(Produtos!I:I,MATCH(C148&amp;D148,Produtos!B:B&amp;Produtos!C:C,0)),"")</f>
        <v>0</v>
      </c>
      <c r="I148" s="7" t="str">
        <f t="shared" si="5"/>
        <v/>
      </c>
      <c r="J148" s="8"/>
      <c r="K148" s="8" t="str">
        <f t="shared" si="3"/>
        <v>Pendente</v>
      </c>
      <c r="L148" s="8"/>
      <c r="M148" s="8" t="str">
        <f t="shared" si="4"/>
        <v/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8"/>
      <c r="B149" s="8"/>
      <c r="C149" s="8"/>
      <c r="D149" s="8"/>
      <c r="E149" s="8"/>
      <c r="F149" s="6"/>
      <c r="G149" s="7" t="str">
        <f t="shared" si="1"/>
        <v/>
      </c>
      <c r="H149" s="7">
        <f t="array" ref="H149">IFERROR(INDEX(Produtos!I:I,MATCH(C149&amp;D149,Produtos!B:B&amp;Produtos!C:C,0)),"")</f>
        <v>0</v>
      </c>
      <c r="I149" s="7" t="str">
        <f t="shared" si="5"/>
        <v/>
      </c>
      <c r="J149" s="8"/>
      <c r="K149" s="8" t="str">
        <f t="shared" si="3"/>
        <v>Pendente</v>
      </c>
      <c r="L149" s="8"/>
      <c r="M149" s="8" t="str">
        <f t="shared" si="4"/>
        <v/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8"/>
      <c r="B150" s="8"/>
      <c r="C150" s="8"/>
      <c r="D150" s="8"/>
      <c r="E150" s="8"/>
      <c r="F150" s="6"/>
      <c r="G150" s="7" t="str">
        <f t="shared" si="1"/>
        <v/>
      </c>
      <c r="H150" s="7">
        <f t="array" ref="H150">IFERROR(INDEX(Produtos!I:I,MATCH(C150&amp;D150,Produtos!B:B&amp;Produtos!C:C,0)),"")</f>
        <v>0</v>
      </c>
      <c r="I150" s="7" t="str">
        <f t="shared" si="5"/>
        <v/>
      </c>
      <c r="J150" s="8"/>
      <c r="K150" s="8" t="str">
        <f t="shared" si="3"/>
        <v>Pendente</v>
      </c>
      <c r="L150" s="8"/>
      <c r="M150" s="8" t="str">
        <f t="shared" si="4"/>
        <v/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8"/>
      <c r="B151" s="8"/>
      <c r="C151" s="8"/>
      <c r="D151" s="8"/>
      <c r="E151" s="8"/>
      <c r="F151" s="6"/>
      <c r="G151" s="7" t="str">
        <f t="shared" si="1"/>
        <v/>
      </c>
      <c r="H151" s="7">
        <f t="array" ref="H151">IFERROR(INDEX(Produtos!I:I,MATCH(C151&amp;D151,Produtos!B:B&amp;Produtos!C:C,0)),"")</f>
        <v>0</v>
      </c>
      <c r="I151" s="7" t="str">
        <f t="shared" si="5"/>
        <v/>
      </c>
      <c r="J151" s="8"/>
      <c r="K151" s="8" t="str">
        <f t="shared" si="3"/>
        <v>Pendente</v>
      </c>
      <c r="L151" s="8"/>
      <c r="M151" s="8" t="str">
        <f t="shared" si="4"/>
        <v/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8"/>
      <c r="B152" s="8"/>
      <c r="C152" s="8"/>
      <c r="D152" s="8"/>
      <c r="E152" s="8"/>
      <c r="F152" s="6"/>
      <c r="G152" s="7" t="str">
        <f t="shared" si="1"/>
        <v/>
      </c>
      <c r="H152" s="7">
        <f t="array" ref="H152">IFERROR(INDEX(Produtos!I:I,MATCH(C152&amp;D152,Produtos!B:B&amp;Produtos!C:C,0)),"")</f>
        <v>0</v>
      </c>
      <c r="I152" s="7" t="str">
        <f t="shared" si="5"/>
        <v/>
      </c>
      <c r="J152" s="8"/>
      <c r="K152" s="8" t="str">
        <f t="shared" si="3"/>
        <v>Pendente</v>
      </c>
      <c r="L152" s="8"/>
      <c r="M152" s="8" t="str">
        <f t="shared" si="4"/>
        <v/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8"/>
      <c r="B153" s="8"/>
      <c r="C153" s="8"/>
      <c r="D153" s="8"/>
      <c r="E153" s="8"/>
      <c r="F153" s="6"/>
      <c r="G153" s="7" t="str">
        <f t="shared" si="1"/>
        <v/>
      </c>
      <c r="H153" s="7">
        <f t="array" ref="H153">IFERROR(INDEX(Produtos!I:I,MATCH(C153&amp;D153,Produtos!B:B&amp;Produtos!C:C,0)),"")</f>
        <v>0</v>
      </c>
      <c r="I153" s="7" t="str">
        <f t="shared" si="5"/>
        <v/>
      </c>
      <c r="J153" s="8"/>
      <c r="K153" s="8" t="str">
        <f t="shared" si="3"/>
        <v>Pendente</v>
      </c>
      <c r="L153" s="8"/>
      <c r="M153" s="8" t="str">
        <f t="shared" si="4"/>
        <v/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8"/>
      <c r="B154" s="8"/>
      <c r="C154" s="8"/>
      <c r="D154" s="8"/>
      <c r="E154" s="8"/>
      <c r="F154" s="6"/>
      <c r="G154" s="7" t="str">
        <f t="shared" si="1"/>
        <v/>
      </c>
      <c r="H154" s="7">
        <f t="array" ref="H154">IFERROR(INDEX(Produtos!I:I,MATCH(C154&amp;D154,Produtos!B:B&amp;Produtos!C:C,0)),"")</f>
        <v>0</v>
      </c>
      <c r="I154" s="7" t="str">
        <f t="shared" si="5"/>
        <v/>
      </c>
      <c r="J154" s="8"/>
      <c r="K154" s="8" t="str">
        <f t="shared" si="3"/>
        <v>Pendente</v>
      </c>
      <c r="L154" s="8"/>
      <c r="M154" s="8" t="str">
        <f t="shared" si="4"/>
        <v/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8"/>
      <c r="B155" s="8"/>
      <c r="C155" s="8"/>
      <c r="D155" s="8"/>
      <c r="E155" s="8"/>
      <c r="F155" s="6"/>
      <c r="G155" s="7" t="str">
        <f t="shared" si="1"/>
        <v/>
      </c>
      <c r="H155" s="7">
        <f t="array" ref="H155">IFERROR(INDEX(Produtos!I:I,MATCH(C155&amp;D155,Produtos!B:B&amp;Produtos!C:C,0)),"")</f>
        <v>0</v>
      </c>
      <c r="I155" s="7" t="str">
        <f t="shared" si="5"/>
        <v/>
      </c>
      <c r="J155" s="8"/>
      <c r="K155" s="8" t="str">
        <f t="shared" si="3"/>
        <v>Pendente</v>
      </c>
      <c r="L155" s="8"/>
      <c r="M155" s="8" t="str">
        <f t="shared" si="4"/>
        <v/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8"/>
      <c r="B156" s="8"/>
      <c r="C156" s="8"/>
      <c r="D156" s="8"/>
      <c r="E156" s="8"/>
      <c r="F156" s="6"/>
      <c r="G156" s="7" t="str">
        <f t="shared" si="1"/>
        <v/>
      </c>
      <c r="H156" s="7">
        <f t="array" ref="H156">IFERROR(INDEX(Produtos!I:I,MATCH(C156&amp;D156,Produtos!B:B&amp;Produtos!C:C,0)),"")</f>
        <v>0</v>
      </c>
      <c r="I156" s="7" t="str">
        <f t="shared" si="5"/>
        <v/>
      </c>
      <c r="J156" s="8"/>
      <c r="K156" s="8" t="str">
        <f t="shared" si="3"/>
        <v>Pendente</v>
      </c>
      <c r="L156" s="8"/>
      <c r="M156" s="8" t="str">
        <f t="shared" si="4"/>
        <v/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8"/>
      <c r="B157" s="8"/>
      <c r="C157" s="8"/>
      <c r="D157" s="8"/>
      <c r="E157" s="8"/>
      <c r="F157" s="6"/>
      <c r="G157" s="7" t="str">
        <f t="shared" si="1"/>
        <v/>
      </c>
      <c r="H157" s="7">
        <f t="array" ref="H157">IFERROR(INDEX(Produtos!I:I,MATCH(C157&amp;D157,Produtos!B:B&amp;Produtos!C:C,0)),"")</f>
        <v>0</v>
      </c>
      <c r="I157" s="7" t="str">
        <f t="shared" si="5"/>
        <v/>
      </c>
      <c r="J157" s="8"/>
      <c r="K157" s="8" t="str">
        <f t="shared" si="3"/>
        <v>Pendente</v>
      </c>
      <c r="L157" s="8"/>
      <c r="M157" s="8" t="str">
        <f t="shared" si="4"/>
        <v/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8"/>
      <c r="B158" s="8"/>
      <c r="C158" s="8"/>
      <c r="D158" s="8"/>
      <c r="E158" s="8"/>
      <c r="F158" s="6"/>
      <c r="G158" s="7" t="str">
        <f t="shared" si="1"/>
        <v/>
      </c>
      <c r="H158" s="7">
        <f t="array" ref="H158">IFERROR(INDEX(Produtos!I:I,MATCH(C158&amp;D158,Produtos!B:B&amp;Produtos!C:C,0)),"")</f>
        <v>0</v>
      </c>
      <c r="I158" s="7" t="str">
        <f t="shared" si="5"/>
        <v/>
      </c>
      <c r="J158" s="8"/>
      <c r="K158" s="8" t="str">
        <f t="shared" si="3"/>
        <v>Pendente</v>
      </c>
      <c r="L158" s="8"/>
      <c r="M158" s="8" t="str">
        <f t="shared" si="4"/>
        <v/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8"/>
      <c r="B159" s="8"/>
      <c r="C159" s="8"/>
      <c r="D159" s="8"/>
      <c r="E159" s="8"/>
      <c r="F159" s="6"/>
      <c r="G159" s="7" t="str">
        <f t="shared" si="1"/>
        <v/>
      </c>
      <c r="H159" s="7">
        <f t="array" ref="H159">IFERROR(INDEX(Produtos!I:I,MATCH(C159&amp;D159,Produtos!B:B&amp;Produtos!C:C,0)),"")</f>
        <v>0</v>
      </c>
      <c r="I159" s="7" t="str">
        <f t="shared" si="5"/>
        <v/>
      </c>
      <c r="J159" s="8"/>
      <c r="K159" s="8" t="str">
        <f t="shared" si="3"/>
        <v>Pendente</v>
      </c>
      <c r="L159" s="8"/>
      <c r="M159" s="8" t="str">
        <f t="shared" si="4"/>
        <v/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8"/>
      <c r="B160" s="8"/>
      <c r="C160" s="8"/>
      <c r="D160" s="8"/>
      <c r="E160" s="8"/>
      <c r="F160" s="6"/>
      <c r="G160" s="7" t="str">
        <f t="shared" si="1"/>
        <v/>
      </c>
      <c r="H160" s="7">
        <f t="array" ref="H160">IFERROR(INDEX(Produtos!I:I,MATCH(C160&amp;D160,Produtos!B:B&amp;Produtos!C:C,0)),"")</f>
        <v>0</v>
      </c>
      <c r="I160" s="7" t="str">
        <f t="shared" si="5"/>
        <v/>
      </c>
      <c r="J160" s="8"/>
      <c r="K160" s="8" t="str">
        <f t="shared" si="3"/>
        <v>Pendente</v>
      </c>
      <c r="L160" s="8"/>
      <c r="M160" s="8" t="str">
        <f t="shared" si="4"/>
        <v/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8"/>
      <c r="B161" s="8"/>
      <c r="C161" s="8"/>
      <c r="D161" s="8"/>
      <c r="E161" s="8"/>
      <c r="F161" s="6"/>
      <c r="G161" s="7" t="str">
        <f t="shared" si="1"/>
        <v/>
      </c>
      <c r="H161" s="7">
        <f t="array" ref="H161">IFERROR(INDEX(Produtos!I:I,MATCH(C161&amp;D161,Produtos!B:B&amp;Produtos!C:C,0)),"")</f>
        <v>0</v>
      </c>
      <c r="I161" s="7" t="str">
        <f t="shared" si="5"/>
        <v/>
      </c>
      <c r="J161" s="8"/>
      <c r="K161" s="8" t="str">
        <f t="shared" si="3"/>
        <v>Pendente</v>
      </c>
      <c r="L161" s="8"/>
      <c r="M161" s="8" t="str">
        <f t="shared" si="4"/>
        <v/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8"/>
      <c r="B162" s="8"/>
      <c r="C162" s="8"/>
      <c r="D162" s="8"/>
      <c r="E162" s="8"/>
      <c r="F162" s="6"/>
      <c r="G162" s="7" t="str">
        <f t="shared" si="1"/>
        <v/>
      </c>
      <c r="H162" s="7">
        <f t="array" ref="H162">IFERROR(INDEX(Produtos!I:I,MATCH(C162&amp;D162,Produtos!B:B&amp;Produtos!C:C,0)),"")</f>
        <v>0</v>
      </c>
      <c r="I162" s="7" t="str">
        <f t="shared" si="5"/>
        <v/>
      </c>
      <c r="J162" s="8"/>
      <c r="K162" s="8" t="str">
        <f t="shared" si="3"/>
        <v>Pendente</v>
      </c>
      <c r="L162" s="8"/>
      <c r="M162" s="8" t="str">
        <f t="shared" si="4"/>
        <v/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8"/>
      <c r="B163" s="8"/>
      <c r="C163" s="8"/>
      <c r="D163" s="8"/>
      <c r="E163" s="8"/>
      <c r="F163" s="6"/>
      <c r="G163" s="7" t="str">
        <f t="shared" si="1"/>
        <v/>
      </c>
      <c r="H163" s="7">
        <f t="array" ref="H163">IFERROR(INDEX(Produtos!I:I,MATCH(C163&amp;D163,Produtos!B:B&amp;Produtos!C:C,0)),"")</f>
        <v>0</v>
      </c>
      <c r="I163" s="7" t="str">
        <f t="shared" si="5"/>
        <v/>
      </c>
      <c r="J163" s="8"/>
      <c r="K163" s="8" t="str">
        <f t="shared" si="3"/>
        <v>Pendente</v>
      </c>
      <c r="L163" s="8"/>
      <c r="M163" s="8" t="str">
        <f t="shared" si="4"/>
        <v/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8"/>
      <c r="B164" s="8"/>
      <c r="C164" s="8"/>
      <c r="D164" s="8"/>
      <c r="E164" s="8"/>
      <c r="F164" s="6"/>
      <c r="G164" s="7" t="str">
        <f t="shared" si="1"/>
        <v/>
      </c>
      <c r="H164" s="7">
        <f t="array" ref="H164">IFERROR(INDEX(Produtos!I:I,MATCH(C164&amp;D164,Produtos!B:B&amp;Produtos!C:C,0)),"")</f>
        <v>0</v>
      </c>
      <c r="I164" s="7" t="str">
        <f t="shared" si="5"/>
        <v/>
      </c>
      <c r="J164" s="8"/>
      <c r="K164" s="8" t="str">
        <f t="shared" si="3"/>
        <v>Pendente</v>
      </c>
      <c r="L164" s="8"/>
      <c r="M164" s="8" t="str">
        <f t="shared" si="4"/>
        <v/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8"/>
      <c r="B165" s="8"/>
      <c r="C165" s="8"/>
      <c r="D165" s="8"/>
      <c r="E165" s="8"/>
      <c r="F165" s="6"/>
      <c r="G165" s="7" t="str">
        <f t="shared" si="1"/>
        <v/>
      </c>
      <c r="H165" s="7">
        <f t="array" ref="H165">IFERROR(INDEX(Produtos!I:I,MATCH(C165&amp;D165,Produtos!B:B&amp;Produtos!C:C,0)),"")</f>
        <v>0</v>
      </c>
      <c r="I165" s="7" t="str">
        <f t="shared" si="5"/>
        <v/>
      </c>
      <c r="J165" s="8"/>
      <c r="K165" s="8" t="str">
        <f t="shared" si="3"/>
        <v>Pendente</v>
      </c>
      <c r="L165" s="8"/>
      <c r="M165" s="8" t="str">
        <f t="shared" si="4"/>
        <v/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8"/>
      <c r="B166" s="8"/>
      <c r="C166" s="8"/>
      <c r="D166" s="8"/>
      <c r="E166" s="8"/>
      <c r="F166" s="6"/>
      <c r="G166" s="7" t="str">
        <f t="shared" si="1"/>
        <v/>
      </c>
      <c r="H166" s="7">
        <f t="array" ref="H166">IFERROR(INDEX(Produtos!I:I,MATCH(C166&amp;D166,Produtos!B:B&amp;Produtos!C:C,0)),"")</f>
        <v>0</v>
      </c>
      <c r="I166" s="7" t="str">
        <f t="shared" si="5"/>
        <v/>
      </c>
      <c r="J166" s="8"/>
      <c r="K166" s="8" t="str">
        <f t="shared" si="3"/>
        <v>Pendente</v>
      </c>
      <c r="L166" s="8"/>
      <c r="M166" s="8" t="str">
        <f t="shared" si="4"/>
        <v/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8"/>
      <c r="B167" s="8"/>
      <c r="C167" s="8"/>
      <c r="D167" s="8"/>
      <c r="E167" s="8"/>
      <c r="F167" s="6"/>
      <c r="G167" s="7" t="str">
        <f t="shared" si="1"/>
        <v/>
      </c>
      <c r="H167" s="7">
        <f t="array" ref="H167">IFERROR(INDEX(Produtos!I:I,MATCH(C167&amp;D167,Produtos!B:B&amp;Produtos!C:C,0)),"")</f>
        <v>0</v>
      </c>
      <c r="I167" s="7" t="str">
        <f t="shared" si="5"/>
        <v/>
      </c>
      <c r="J167" s="8"/>
      <c r="K167" s="8" t="str">
        <f t="shared" si="3"/>
        <v>Pendente</v>
      </c>
      <c r="L167" s="8"/>
      <c r="M167" s="8" t="str">
        <f t="shared" si="4"/>
        <v/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8"/>
      <c r="B168" s="8"/>
      <c r="C168" s="8"/>
      <c r="D168" s="8"/>
      <c r="E168" s="8"/>
      <c r="F168" s="6"/>
      <c r="G168" s="7" t="str">
        <f t="shared" si="1"/>
        <v/>
      </c>
      <c r="H168" s="7">
        <f t="array" ref="H168">IFERROR(INDEX(Produtos!I:I,MATCH(C168&amp;D168,Produtos!B:B&amp;Produtos!C:C,0)),"")</f>
        <v>0</v>
      </c>
      <c r="I168" s="7" t="str">
        <f t="shared" si="5"/>
        <v/>
      </c>
      <c r="J168" s="8"/>
      <c r="K168" s="8" t="str">
        <f t="shared" si="3"/>
        <v>Pendente</v>
      </c>
      <c r="L168" s="8"/>
      <c r="M168" s="8" t="str">
        <f t="shared" si="4"/>
        <v/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8"/>
      <c r="B169" s="8"/>
      <c r="C169" s="8"/>
      <c r="D169" s="8"/>
      <c r="E169" s="8"/>
      <c r="F169" s="6"/>
      <c r="G169" s="7" t="str">
        <f t="shared" si="1"/>
        <v/>
      </c>
      <c r="H169" s="7">
        <f t="array" ref="H169">IFERROR(INDEX(Produtos!I:I,MATCH(C169&amp;D169,Produtos!B:B&amp;Produtos!C:C,0)),"")</f>
        <v>0</v>
      </c>
      <c r="I169" s="7" t="str">
        <f t="shared" si="5"/>
        <v/>
      </c>
      <c r="J169" s="8"/>
      <c r="K169" s="8" t="str">
        <f t="shared" si="3"/>
        <v>Pendente</v>
      </c>
      <c r="L169" s="8"/>
      <c r="M169" s="8" t="str">
        <f t="shared" si="4"/>
        <v/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8"/>
      <c r="B170" s="8"/>
      <c r="C170" s="8"/>
      <c r="D170" s="8"/>
      <c r="E170" s="8"/>
      <c r="F170" s="6"/>
      <c r="G170" s="7" t="str">
        <f t="shared" si="1"/>
        <v/>
      </c>
      <c r="H170" s="7">
        <f t="array" ref="H170">IFERROR(INDEX(Produtos!I:I,MATCH(C170&amp;D170,Produtos!B:B&amp;Produtos!C:C,0)),"")</f>
        <v>0</v>
      </c>
      <c r="I170" s="7" t="str">
        <f t="shared" si="5"/>
        <v/>
      </c>
      <c r="J170" s="8"/>
      <c r="K170" s="8" t="str">
        <f t="shared" si="3"/>
        <v>Pendente</v>
      </c>
      <c r="L170" s="8"/>
      <c r="M170" s="8" t="str">
        <f t="shared" si="4"/>
        <v/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8"/>
      <c r="B171" s="8"/>
      <c r="C171" s="8"/>
      <c r="D171" s="8"/>
      <c r="E171" s="8"/>
      <c r="F171" s="6"/>
      <c r="G171" s="7" t="str">
        <f t="shared" si="1"/>
        <v/>
      </c>
      <c r="H171" s="7">
        <f t="array" ref="H171">IFERROR(INDEX(Produtos!I:I,MATCH(C171&amp;D171,Produtos!B:B&amp;Produtos!C:C,0)),"")</f>
        <v>0</v>
      </c>
      <c r="I171" s="7" t="str">
        <f t="shared" si="5"/>
        <v/>
      </c>
      <c r="J171" s="8"/>
      <c r="K171" s="8" t="str">
        <f t="shared" si="3"/>
        <v>Pendente</v>
      </c>
      <c r="L171" s="8"/>
      <c r="M171" s="8" t="str">
        <f t="shared" si="4"/>
        <v/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8"/>
      <c r="B172" s="8"/>
      <c r="C172" s="8"/>
      <c r="D172" s="8"/>
      <c r="E172" s="8"/>
      <c r="F172" s="6"/>
      <c r="G172" s="7" t="str">
        <f t="shared" si="1"/>
        <v/>
      </c>
      <c r="H172" s="7">
        <f t="array" ref="H172">IFERROR(INDEX(Produtos!I:I,MATCH(C172&amp;D172,Produtos!B:B&amp;Produtos!C:C,0)),"")</f>
        <v>0</v>
      </c>
      <c r="I172" s="7" t="str">
        <f t="shared" si="5"/>
        <v/>
      </c>
      <c r="J172" s="8"/>
      <c r="K172" s="8" t="str">
        <f t="shared" si="3"/>
        <v>Pendente</v>
      </c>
      <c r="L172" s="8"/>
      <c r="M172" s="8" t="str">
        <f t="shared" si="4"/>
        <v/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8"/>
      <c r="B173" s="8"/>
      <c r="C173" s="8"/>
      <c r="D173" s="8"/>
      <c r="E173" s="8"/>
      <c r="F173" s="6"/>
      <c r="G173" s="7" t="str">
        <f t="shared" si="1"/>
        <v/>
      </c>
      <c r="H173" s="7">
        <f t="array" ref="H173">IFERROR(INDEX(Produtos!I:I,MATCH(C173&amp;D173,Produtos!B:B&amp;Produtos!C:C,0)),"")</f>
        <v>0</v>
      </c>
      <c r="I173" s="7" t="str">
        <f t="shared" si="5"/>
        <v/>
      </c>
      <c r="J173" s="8"/>
      <c r="K173" s="8" t="str">
        <f t="shared" si="3"/>
        <v>Pendente</v>
      </c>
      <c r="L173" s="8"/>
      <c r="M173" s="8" t="str">
        <f t="shared" si="4"/>
        <v/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8"/>
      <c r="B174" s="8"/>
      <c r="C174" s="8"/>
      <c r="D174" s="8"/>
      <c r="E174" s="8"/>
      <c r="F174" s="6"/>
      <c r="G174" s="7" t="str">
        <f t="shared" si="1"/>
        <v/>
      </c>
      <c r="H174" s="7">
        <f t="array" ref="H174">IFERROR(INDEX(Produtos!I:I,MATCH(C174&amp;D174,Produtos!B:B&amp;Produtos!C:C,0)),"")</f>
        <v>0</v>
      </c>
      <c r="I174" s="7" t="str">
        <f t="shared" si="5"/>
        <v/>
      </c>
      <c r="J174" s="8"/>
      <c r="K174" s="8" t="str">
        <f t="shared" si="3"/>
        <v>Pendente</v>
      </c>
      <c r="L174" s="8"/>
      <c r="M174" s="8" t="str">
        <f t="shared" si="4"/>
        <v/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8"/>
      <c r="B175" s="8"/>
      <c r="C175" s="8"/>
      <c r="D175" s="8"/>
      <c r="E175" s="8"/>
      <c r="F175" s="6"/>
      <c r="G175" s="7" t="str">
        <f t="shared" si="1"/>
        <v/>
      </c>
      <c r="H175" s="7">
        <f t="array" ref="H175">IFERROR(INDEX(Produtos!I:I,MATCH(C175&amp;D175,Produtos!B:B&amp;Produtos!C:C,0)),"")</f>
        <v>0</v>
      </c>
      <c r="I175" s="7" t="str">
        <f t="shared" si="5"/>
        <v/>
      </c>
      <c r="J175" s="8"/>
      <c r="K175" s="8" t="str">
        <f t="shared" si="3"/>
        <v>Pendente</v>
      </c>
      <c r="L175" s="8"/>
      <c r="M175" s="8" t="str">
        <f t="shared" si="4"/>
        <v/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8"/>
      <c r="B176" s="8"/>
      <c r="C176" s="8"/>
      <c r="D176" s="8"/>
      <c r="E176" s="8"/>
      <c r="F176" s="6"/>
      <c r="G176" s="7" t="str">
        <f t="shared" si="1"/>
        <v/>
      </c>
      <c r="H176" s="7">
        <f t="array" ref="H176">IFERROR(INDEX(Produtos!I:I,MATCH(C176&amp;D176,Produtos!B:B&amp;Produtos!C:C,0)),"")</f>
        <v>0</v>
      </c>
      <c r="I176" s="7" t="str">
        <f t="shared" si="5"/>
        <v/>
      </c>
      <c r="J176" s="8"/>
      <c r="K176" s="8" t="str">
        <f t="shared" si="3"/>
        <v>Pendente</v>
      </c>
      <c r="L176" s="8"/>
      <c r="M176" s="8" t="str">
        <f t="shared" si="4"/>
        <v/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8"/>
      <c r="B177" s="8"/>
      <c r="C177" s="8"/>
      <c r="D177" s="8"/>
      <c r="E177" s="8"/>
      <c r="F177" s="6"/>
      <c r="G177" s="7" t="str">
        <f t="shared" si="1"/>
        <v/>
      </c>
      <c r="H177" s="7">
        <f t="array" ref="H177">IFERROR(INDEX(Produtos!I:I,MATCH(C177&amp;D177,Produtos!B:B&amp;Produtos!C:C,0)),"")</f>
        <v>0</v>
      </c>
      <c r="I177" s="7" t="str">
        <f t="shared" si="5"/>
        <v/>
      </c>
      <c r="J177" s="8"/>
      <c r="K177" s="8" t="str">
        <f t="shared" si="3"/>
        <v>Pendente</v>
      </c>
      <c r="L177" s="8"/>
      <c r="M177" s="8" t="str">
        <f t="shared" si="4"/>
        <v/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8"/>
      <c r="B178" s="8"/>
      <c r="C178" s="8"/>
      <c r="D178" s="8"/>
      <c r="E178" s="8"/>
      <c r="F178" s="6"/>
      <c r="G178" s="7" t="str">
        <f t="shared" si="1"/>
        <v/>
      </c>
      <c r="H178" s="7">
        <f t="array" ref="H178">IFERROR(INDEX(Produtos!I:I,MATCH(C178&amp;D178,Produtos!B:B&amp;Produtos!C:C,0)),"")</f>
        <v>0</v>
      </c>
      <c r="I178" s="7" t="str">
        <f t="shared" si="5"/>
        <v/>
      </c>
      <c r="J178" s="8"/>
      <c r="K178" s="8" t="str">
        <f t="shared" si="3"/>
        <v>Pendente</v>
      </c>
      <c r="L178" s="8"/>
      <c r="M178" s="8" t="str">
        <f t="shared" si="4"/>
        <v/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8"/>
      <c r="B179" s="8"/>
      <c r="C179" s="8"/>
      <c r="D179" s="8"/>
      <c r="E179" s="8"/>
      <c r="F179" s="6"/>
      <c r="G179" s="7" t="str">
        <f t="shared" si="1"/>
        <v/>
      </c>
      <c r="H179" s="7">
        <f t="array" ref="H179">IFERROR(INDEX(Produtos!I:I,MATCH(C179&amp;D179,Produtos!B:B&amp;Produtos!C:C,0)),"")</f>
        <v>0</v>
      </c>
      <c r="I179" s="7" t="str">
        <f t="shared" si="5"/>
        <v/>
      </c>
      <c r="J179" s="8"/>
      <c r="K179" s="8" t="str">
        <f t="shared" si="3"/>
        <v>Pendente</v>
      </c>
      <c r="L179" s="8"/>
      <c r="M179" s="8" t="str">
        <f t="shared" si="4"/>
        <v/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8"/>
      <c r="B180" s="8"/>
      <c r="C180" s="8"/>
      <c r="D180" s="8"/>
      <c r="E180" s="8"/>
      <c r="F180" s="6"/>
      <c r="G180" s="7" t="str">
        <f t="shared" si="1"/>
        <v/>
      </c>
      <c r="H180" s="7">
        <f t="array" ref="H180">IFERROR(INDEX(Produtos!I:I,MATCH(C180&amp;D180,Produtos!B:B&amp;Produtos!C:C,0)),"")</f>
        <v>0</v>
      </c>
      <c r="I180" s="7" t="str">
        <f t="shared" si="5"/>
        <v/>
      </c>
      <c r="J180" s="8"/>
      <c r="K180" s="8" t="str">
        <f t="shared" si="3"/>
        <v>Pendente</v>
      </c>
      <c r="L180" s="8"/>
      <c r="M180" s="8" t="str">
        <f t="shared" si="4"/>
        <v/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8"/>
      <c r="B181" s="8"/>
      <c r="C181" s="8"/>
      <c r="D181" s="8"/>
      <c r="E181" s="8"/>
      <c r="F181" s="6"/>
      <c r="G181" s="7" t="str">
        <f t="shared" si="1"/>
        <v/>
      </c>
      <c r="H181" s="7">
        <f t="array" ref="H181">IFERROR(INDEX(Produtos!I:I,MATCH(C181&amp;D181,Produtos!B:B&amp;Produtos!C:C,0)),"")</f>
        <v>0</v>
      </c>
      <c r="I181" s="7" t="str">
        <f t="shared" si="5"/>
        <v/>
      </c>
      <c r="J181" s="8"/>
      <c r="K181" s="8" t="str">
        <f t="shared" si="3"/>
        <v>Pendente</v>
      </c>
      <c r="L181" s="8"/>
      <c r="M181" s="8" t="str">
        <f t="shared" si="4"/>
        <v/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8"/>
      <c r="B182" s="8"/>
      <c r="C182" s="8"/>
      <c r="D182" s="8"/>
      <c r="E182" s="8"/>
      <c r="F182" s="6"/>
      <c r="G182" s="7" t="str">
        <f t="shared" si="1"/>
        <v/>
      </c>
      <c r="H182" s="7">
        <f t="array" ref="H182">IFERROR(INDEX(Produtos!I:I,MATCH(C182&amp;D182,Produtos!B:B&amp;Produtos!C:C,0)),"")</f>
        <v>0</v>
      </c>
      <c r="I182" s="7" t="str">
        <f t="shared" si="5"/>
        <v/>
      </c>
      <c r="J182" s="8"/>
      <c r="K182" s="8" t="str">
        <f t="shared" si="3"/>
        <v>Pendente</v>
      </c>
      <c r="L182" s="8"/>
      <c r="M182" s="8" t="str">
        <f t="shared" si="4"/>
        <v/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8"/>
      <c r="B183" s="8"/>
      <c r="C183" s="8"/>
      <c r="D183" s="8"/>
      <c r="E183" s="8"/>
      <c r="F183" s="6"/>
      <c r="G183" s="7" t="str">
        <f t="shared" si="1"/>
        <v/>
      </c>
      <c r="H183" s="7">
        <f t="array" ref="H183">IFERROR(INDEX(Produtos!I:I,MATCH(C183&amp;D183,Produtos!B:B&amp;Produtos!C:C,0)),"")</f>
        <v>0</v>
      </c>
      <c r="I183" s="7" t="str">
        <f t="shared" si="5"/>
        <v/>
      </c>
      <c r="J183" s="8"/>
      <c r="K183" s="8" t="str">
        <f t="shared" si="3"/>
        <v>Pendente</v>
      </c>
      <c r="L183" s="8"/>
      <c r="M183" s="8" t="str">
        <f t="shared" si="4"/>
        <v/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8"/>
      <c r="B184" s="8"/>
      <c r="C184" s="8"/>
      <c r="D184" s="8"/>
      <c r="E184" s="8"/>
      <c r="F184" s="6"/>
      <c r="G184" s="7" t="str">
        <f t="shared" si="1"/>
        <v/>
      </c>
      <c r="H184" s="7">
        <f t="array" ref="H184">IFERROR(INDEX(Produtos!I:I,MATCH(C184&amp;D184,Produtos!B:B&amp;Produtos!C:C,0)),"")</f>
        <v>0</v>
      </c>
      <c r="I184" s="7" t="str">
        <f t="shared" si="5"/>
        <v/>
      </c>
      <c r="J184" s="8"/>
      <c r="K184" s="8" t="str">
        <f t="shared" si="3"/>
        <v>Pendente</v>
      </c>
      <c r="L184" s="8"/>
      <c r="M184" s="8" t="str">
        <f t="shared" si="4"/>
        <v/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8"/>
      <c r="B185" s="8"/>
      <c r="C185" s="8"/>
      <c r="D185" s="8"/>
      <c r="E185" s="8"/>
      <c r="F185" s="6"/>
      <c r="G185" s="7" t="str">
        <f t="shared" si="1"/>
        <v/>
      </c>
      <c r="H185" s="7">
        <f t="array" ref="H185">IFERROR(INDEX(Produtos!I:I,MATCH(C185&amp;D185,Produtos!B:B&amp;Produtos!C:C,0)),"")</f>
        <v>0</v>
      </c>
      <c r="I185" s="7" t="str">
        <f t="shared" si="5"/>
        <v/>
      </c>
      <c r="J185" s="8"/>
      <c r="K185" s="8" t="str">
        <f t="shared" si="3"/>
        <v>Pendente</v>
      </c>
      <c r="L185" s="8"/>
      <c r="M185" s="8" t="str">
        <f t="shared" si="4"/>
        <v/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8"/>
      <c r="B186" s="8"/>
      <c r="C186" s="8"/>
      <c r="D186" s="8"/>
      <c r="E186" s="8"/>
      <c r="F186" s="6"/>
      <c r="G186" s="7" t="str">
        <f t="shared" si="1"/>
        <v/>
      </c>
      <c r="H186" s="7">
        <f t="array" ref="H186">IFERROR(INDEX(Produtos!I:I,MATCH(C186&amp;D186,Produtos!B:B&amp;Produtos!C:C,0)),"")</f>
        <v>0</v>
      </c>
      <c r="I186" s="7" t="str">
        <f t="shared" si="5"/>
        <v/>
      </c>
      <c r="J186" s="8"/>
      <c r="K186" s="8" t="str">
        <f t="shared" si="3"/>
        <v>Pendente</v>
      </c>
      <c r="L186" s="8"/>
      <c r="M186" s="8" t="str">
        <f t="shared" si="4"/>
        <v/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8"/>
      <c r="B187" s="8"/>
      <c r="C187" s="8"/>
      <c r="D187" s="8"/>
      <c r="E187" s="8"/>
      <c r="F187" s="6"/>
      <c r="G187" s="7" t="str">
        <f t="shared" si="1"/>
        <v/>
      </c>
      <c r="H187" s="7">
        <f t="array" ref="H187">IFERROR(INDEX(Produtos!I:I,MATCH(C187&amp;D187,Produtos!B:B&amp;Produtos!C:C,0)),"")</f>
        <v>0</v>
      </c>
      <c r="I187" s="7" t="str">
        <f t="shared" si="5"/>
        <v/>
      </c>
      <c r="J187" s="8"/>
      <c r="K187" s="8" t="str">
        <f t="shared" si="3"/>
        <v>Pendente</v>
      </c>
      <c r="L187" s="8"/>
      <c r="M187" s="8" t="str">
        <f t="shared" si="4"/>
        <v/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8"/>
      <c r="B188" s="8"/>
      <c r="C188" s="8"/>
      <c r="D188" s="8"/>
      <c r="E188" s="8"/>
      <c r="F188" s="6"/>
      <c r="G188" s="7" t="str">
        <f t="shared" si="1"/>
        <v/>
      </c>
      <c r="H188" s="7">
        <f t="array" ref="H188">IFERROR(INDEX(Produtos!I:I,MATCH(C188&amp;D188,Produtos!B:B&amp;Produtos!C:C,0)),"")</f>
        <v>0</v>
      </c>
      <c r="I188" s="7" t="str">
        <f t="shared" si="5"/>
        <v/>
      </c>
      <c r="J188" s="8"/>
      <c r="K188" s="8" t="str">
        <f t="shared" si="3"/>
        <v>Pendente</v>
      </c>
      <c r="L188" s="8"/>
      <c r="M188" s="8" t="str">
        <f t="shared" si="4"/>
        <v/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8"/>
      <c r="B189" s="8"/>
      <c r="C189" s="8"/>
      <c r="D189" s="8"/>
      <c r="E189" s="8"/>
      <c r="F189" s="6"/>
      <c r="G189" s="7" t="str">
        <f t="shared" si="1"/>
        <v/>
      </c>
      <c r="H189" s="7">
        <f t="array" ref="H189">IFERROR(INDEX(Produtos!I:I,MATCH(C189&amp;D189,Produtos!B:B&amp;Produtos!C:C,0)),"")</f>
        <v>0</v>
      </c>
      <c r="I189" s="7" t="str">
        <f t="shared" si="5"/>
        <v/>
      </c>
      <c r="J189" s="8"/>
      <c r="K189" s="8" t="str">
        <f t="shared" si="3"/>
        <v>Pendente</v>
      </c>
      <c r="L189" s="8"/>
      <c r="M189" s="8" t="str">
        <f t="shared" si="4"/>
        <v/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8"/>
      <c r="B190" s="8"/>
      <c r="C190" s="8"/>
      <c r="D190" s="8"/>
      <c r="E190" s="8"/>
      <c r="F190" s="6"/>
      <c r="G190" s="7" t="str">
        <f t="shared" si="1"/>
        <v/>
      </c>
      <c r="H190" s="7">
        <f t="array" ref="H190">IFERROR(INDEX(Produtos!I:I,MATCH(C190&amp;D190,Produtos!B:B&amp;Produtos!C:C,0)),"")</f>
        <v>0</v>
      </c>
      <c r="I190" s="7" t="str">
        <f t="shared" si="5"/>
        <v/>
      </c>
      <c r="J190" s="8"/>
      <c r="K190" s="8" t="str">
        <f t="shared" si="3"/>
        <v>Pendente</v>
      </c>
      <c r="L190" s="8"/>
      <c r="M190" s="8" t="str">
        <f t="shared" si="4"/>
        <v/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8"/>
      <c r="B191" s="8"/>
      <c r="C191" s="8"/>
      <c r="D191" s="8"/>
      <c r="E191" s="8"/>
      <c r="F191" s="6"/>
      <c r="G191" s="7" t="str">
        <f t="shared" si="1"/>
        <v/>
      </c>
      <c r="H191" s="7">
        <f t="array" ref="H191">IFERROR(INDEX(Produtos!I:I,MATCH(C191&amp;D191,Produtos!B:B&amp;Produtos!C:C,0)),"")</f>
        <v>0</v>
      </c>
      <c r="I191" s="7" t="str">
        <f t="shared" si="5"/>
        <v/>
      </c>
      <c r="J191" s="8"/>
      <c r="K191" s="8" t="str">
        <f t="shared" si="3"/>
        <v>Pendente</v>
      </c>
      <c r="L191" s="8"/>
      <c r="M191" s="8" t="str">
        <f t="shared" si="4"/>
        <v/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8"/>
      <c r="B192" s="8"/>
      <c r="C192" s="8"/>
      <c r="D192" s="8"/>
      <c r="E192" s="8"/>
      <c r="F192" s="6"/>
      <c r="G192" s="7" t="str">
        <f t="shared" si="1"/>
        <v/>
      </c>
      <c r="H192" s="7">
        <f t="array" ref="H192">IFERROR(INDEX(Produtos!I:I,MATCH(C192&amp;D192,Produtos!B:B&amp;Produtos!C:C,0)),"")</f>
        <v>0</v>
      </c>
      <c r="I192" s="7" t="str">
        <f t="shared" si="5"/>
        <v/>
      </c>
      <c r="J192" s="8"/>
      <c r="K192" s="8" t="str">
        <f t="shared" si="3"/>
        <v>Pendente</v>
      </c>
      <c r="L192" s="8"/>
      <c r="M192" s="8" t="str">
        <f t="shared" si="4"/>
        <v/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8"/>
      <c r="B193" s="8"/>
      <c r="C193" s="8"/>
      <c r="D193" s="8"/>
      <c r="E193" s="8"/>
      <c r="F193" s="6"/>
      <c r="G193" s="7" t="str">
        <f t="shared" si="1"/>
        <v/>
      </c>
      <c r="H193" s="7">
        <f t="array" ref="H193">IFERROR(INDEX(Produtos!I:I,MATCH(C193&amp;D193,Produtos!B:B&amp;Produtos!C:C,0)),"")</f>
        <v>0</v>
      </c>
      <c r="I193" s="7" t="str">
        <f t="shared" si="5"/>
        <v/>
      </c>
      <c r="J193" s="8"/>
      <c r="K193" s="8" t="str">
        <f t="shared" si="3"/>
        <v>Pendente</v>
      </c>
      <c r="L193" s="8"/>
      <c r="M193" s="8" t="str">
        <f t="shared" si="4"/>
        <v/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8"/>
      <c r="B194" s="8"/>
      <c r="C194" s="8"/>
      <c r="D194" s="8"/>
      <c r="E194" s="8"/>
      <c r="F194" s="6"/>
      <c r="G194" s="7" t="str">
        <f t="shared" si="1"/>
        <v/>
      </c>
      <c r="H194" s="7">
        <f t="array" ref="H194">IFERROR(INDEX(Produtos!I:I,MATCH(C194&amp;D194,Produtos!B:B&amp;Produtos!C:C,0)),"")</f>
        <v>0</v>
      </c>
      <c r="I194" s="7" t="str">
        <f t="shared" si="5"/>
        <v/>
      </c>
      <c r="J194" s="8"/>
      <c r="K194" s="8" t="str">
        <f t="shared" si="3"/>
        <v>Pendente</v>
      </c>
      <c r="L194" s="8"/>
      <c r="M194" s="8" t="str">
        <f t="shared" si="4"/>
        <v/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8"/>
      <c r="B195" s="8"/>
      <c r="C195" s="8"/>
      <c r="D195" s="8"/>
      <c r="E195" s="8"/>
      <c r="F195" s="6"/>
      <c r="G195" s="7" t="str">
        <f t="shared" si="1"/>
        <v/>
      </c>
      <c r="H195" s="7">
        <f t="array" ref="H195">IFERROR(INDEX(Produtos!I:I,MATCH(C195&amp;D195,Produtos!B:B&amp;Produtos!C:C,0)),"")</f>
        <v>0</v>
      </c>
      <c r="I195" s="7" t="str">
        <f t="shared" si="5"/>
        <v/>
      </c>
      <c r="J195" s="8"/>
      <c r="K195" s="8" t="str">
        <f t="shared" si="3"/>
        <v>Pendente</v>
      </c>
      <c r="L195" s="8"/>
      <c r="M195" s="8" t="str">
        <f t="shared" si="4"/>
        <v/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8"/>
      <c r="B196" s="8"/>
      <c r="C196" s="8"/>
      <c r="D196" s="8"/>
      <c r="E196" s="8"/>
      <c r="F196" s="6"/>
      <c r="G196" s="7" t="str">
        <f t="shared" si="1"/>
        <v/>
      </c>
      <c r="H196" s="7">
        <f t="array" ref="H196">IFERROR(INDEX(Produtos!I:I,MATCH(C196&amp;D196,Produtos!B:B&amp;Produtos!C:C,0)),"")</f>
        <v>0</v>
      </c>
      <c r="I196" s="7" t="str">
        <f t="shared" si="5"/>
        <v/>
      </c>
      <c r="J196" s="8"/>
      <c r="K196" s="8" t="str">
        <f t="shared" si="3"/>
        <v>Pendente</v>
      </c>
      <c r="L196" s="8"/>
      <c r="M196" s="8" t="str">
        <f t="shared" si="4"/>
        <v/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8"/>
      <c r="B197" s="8"/>
      <c r="C197" s="8"/>
      <c r="D197" s="8"/>
      <c r="E197" s="8"/>
      <c r="F197" s="6"/>
      <c r="G197" s="7" t="str">
        <f t="shared" si="1"/>
        <v/>
      </c>
      <c r="H197" s="7">
        <f t="array" ref="H197">IFERROR(INDEX(Produtos!I:I,MATCH(C197&amp;D197,Produtos!B:B&amp;Produtos!C:C,0)),"")</f>
        <v>0</v>
      </c>
      <c r="I197" s="7" t="str">
        <f t="shared" si="5"/>
        <v/>
      </c>
      <c r="J197" s="8"/>
      <c r="K197" s="8" t="str">
        <f t="shared" si="3"/>
        <v>Pendente</v>
      </c>
      <c r="L197" s="8"/>
      <c r="M197" s="8" t="str">
        <f t="shared" si="4"/>
        <v/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8"/>
      <c r="B198" s="8"/>
      <c r="C198" s="8"/>
      <c r="D198" s="8"/>
      <c r="E198" s="8"/>
      <c r="F198" s="6"/>
      <c r="G198" s="7" t="str">
        <f t="shared" si="1"/>
        <v/>
      </c>
      <c r="H198" s="7">
        <f t="array" ref="H198">IFERROR(INDEX(Produtos!I:I,MATCH(C198&amp;D198,Produtos!B:B&amp;Produtos!C:C,0)),"")</f>
        <v>0</v>
      </c>
      <c r="I198" s="7" t="str">
        <f t="shared" si="5"/>
        <v/>
      </c>
      <c r="J198" s="8"/>
      <c r="K198" s="8" t="str">
        <f t="shared" si="3"/>
        <v>Pendente</v>
      </c>
      <c r="L198" s="8"/>
      <c r="M198" s="8" t="str">
        <f t="shared" si="4"/>
        <v/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8"/>
      <c r="B199" s="8"/>
      <c r="C199" s="8"/>
      <c r="D199" s="8"/>
      <c r="E199" s="8"/>
      <c r="F199" s="6"/>
      <c r="G199" s="7" t="str">
        <f t="shared" si="1"/>
        <v/>
      </c>
      <c r="H199" s="7">
        <f t="array" ref="H199">IFERROR(INDEX(Produtos!I:I,MATCH(C199&amp;D199,Produtos!B:B&amp;Produtos!C:C,0)),"")</f>
        <v>0</v>
      </c>
      <c r="I199" s="7" t="str">
        <f t="shared" si="5"/>
        <v/>
      </c>
      <c r="J199" s="8"/>
      <c r="K199" s="8" t="str">
        <f t="shared" si="3"/>
        <v>Pendente</v>
      </c>
      <c r="L199" s="8"/>
      <c r="M199" s="8" t="str">
        <f t="shared" si="4"/>
        <v/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8"/>
      <c r="B200" s="8"/>
      <c r="C200" s="8"/>
      <c r="D200" s="8"/>
      <c r="E200" s="8"/>
      <c r="F200" s="6"/>
      <c r="G200" s="7" t="str">
        <f t="shared" si="1"/>
        <v/>
      </c>
      <c r="H200" s="7">
        <f t="array" ref="H200">IFERROR(INDEX(Produtos!I:I,MATCH(C200&amp;D200,Produtos!B:B&amp;Produtos!C:C,0)),"")</f>
        <v>0</v>
      </c>
      <c r="I200" s="7" t="str">
        <f t="shared" si="5"/>
        <v/>
      </c>
      <c r="J200" s="8"/>
      <c r="K200" s="8" t="str">
        <f t="shared" si="3"/>
        <v>Pendente</v>
      </c>
      <c r="L200" s="8"/>
      <c r="M200" s="8" t="str">
        <f t="shared" si="4"/>
        <v/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8"/>
      <c r="B201" s="8"/>
      <c r="C201" s="8"/>
      <c r="D201" s="8"/>
      <c r="E201" s="8"/>
      <c r="F201" s="6"/>
      <c r="G201" s="7" t="str">
        <f t="shared" si="1"/>
        <v/>
      </c>
      <c r="H201" s="7">
        <f t="array" ref="H201">IFERROR(INDEX(Produtos!I:I,MATCH(C201&amp;D201,Produtos!B:B&amp;Produtos!C:C,0)),"")</f>
        <v>0</v>
      </c>
      <c r="I201" s="7" t="str">
        <f t="shared" si="5"/>
        <v/>
      </c>
      <c r="J201" s="8"/>
      <c r="K201" s="8" t="str">
        <f t="shared" si="3"/>
        <v>Pendente</v>
      </c>
      <c r="L201" s="8"/>
      <c r="M201" s="8" t="str">
        <f t="shared" si="4"/>
        <v/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8"/>
      <c r="B202" s="8"/>
      <c r="C202" s="8"/>
      <c r="D202" s="8"/>
      <c r="E202" s="8"/>
      <c r="F202" s="6"/>
      <c r="G202" s="7" t="str">
        <f t="shared" si="1"/>
        <v/>
      </c>
      <c r="H202" s="7">
        <f t="array" ref="H202">IFERROR(INDEX(Produtos!I:I,MATCH(C202&amp;D202,Produtos!B:B&amp;Produtos!C:C,0)),"")</f>
        <v>0</v>
      </c>
      <c r="I202" s="7" t="str">
        <f t="shared" si="5"/>
        <v/>
      </c>
      <c r="J202" s="8"/>
      <c r="K202" s="8" t="str">
        <f t="shared" si="3"/>
        <v>Pendente</v>
      </c>
      <c r="L202" s="8"/>
      <c r="M202" s="8" t="str">
        <f t="shared" si="4"/>
        <v/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8"/>
      <c r="B203" s="8"/>
      <c r="C203" s="8"/>
      <c r="D203" s="8"/>
      <c r="E203" s="8"/>
      <c r="F203" s="6"/>
      <c r="G203" s="7" t="str">
        <f t="shared" si="1"/>
        <v/>
      </c>
      <c r="H203" s="7">
        <f t="array" ref="H203">IFERROR(INDEX(Produtos!I:I,MATCH(C203&amp;D203,Produtos!B:B&amp;Produtos!C:C,0)),"")</f>
        <v>0</v>
      </c>
      <c r="I203" s="7" t="str">
        <f t="shared" si="5"/>
        <v/>
      </c>
      <c r="J203" s="8"/>
      <c r="K203" s="8" t="str">
        <f t="shared" si="3"/>
        <v>Pendente</v>
      </c>
      <c r="L203" s="8"/>
      <c r="M203" s="8" t="str">
        <f t="shared" si="4"/>
        <v/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8"/>
      <c r="B204" s="8"/>
      <c r="C204" s="8"/>
      <c r="D204" s="8"/>
      <c r="E204" s="8"/>
      <c r="F204" s="6"/>
      <c r="G204" s="7" t="str">
        <f t="shared" si="1"/>
        <v/>
      </c>
      <c r="H204" s="7">
        <f t="array" ref="H204">IFERROR(INDEX(Produtos!I:I,MATCH(C204&amp;D204,Produtos!B:B&amp;Produtos!C:C,0)),"")</f>
        <v>0</v>
      </c>
      <c r="I204" s="7" t="str">
        <f t="shared" si="5"/>
        <v/>
      </c>
      <c r="J204" s="8"/>
      <c r="K204" s="8" t="str">
        <f t="shared" si="3"/>
        <v>Pendente</v>
      </c>
      <c r="L204" s="8"/>
      <c r="M204" s="8" t="str">
        <f t="shared" si="4"/>
        <v/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8"/>
      <c r="B205" s="8"/>
      <c r="C205" s="8"/>
      <c r="D205" s="8"/>
      <c r="E205" s="8"/>
      <c r="F205" s="6"/>
      <c r="G205" s="7" t="str">
        <f t="shared" si="1"/>
        <v/>
      </c>
      <c r="H205" s="7">
        <f t="array" ref="H205">IFERROR(INDEX(Produtos!I:I,MATCH(C205&amp;D205,Produtos!B:B&amp;Produtos!C:C,0)),"")</f>
        <v>0</v>
      </c>
      <c r="I205" s="7" t="str">
        <f t="shared" si="5"/>
        <v/>
      </c>
      <c r="J205" s="8"/>
      <c r="K205" s="8" t="str">
        <f t="shared" si="3"/>
        <v>Pendente</v>
      </c>
      <c r="L205" s="8"/>
      <c r="M205" s="8" t="str">
        <f t="shared" si="4"/>
        <v/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8"/>
      <c r="B206" s="8"/>
      <c r="C206" s="8"/>
      <c r="D206" s="8"/>
      <c r="E206" s="8"/>
      <c r="F206" s="6"/>
      <c r="G206" s="7" t="str">
        <f t="shared" si="1"/>
        <v/>
      </c>
      <c r="H206" s="7">
        <f t="array" ref="H206">IFERROR(INDEX(Produtos!I:I,MATCH(C206&amp;D206,Produtos!B:B&amp;Produtos!C:C,0)),"")</f>
        <v>0</v>
      </c>
      <c r="I206" s="7" t="str">
        <f t="shared" si="5"/>
        <v/>
      </c>
      <c r="J206" s="8"/>
      <c r="K206" s="8" t="str">
        <f t="shared" si="3"/>
        <v>Pendente</v>
      </c>
      <c r="L206" s="8"/>
      <c r="M206" s="8" t="str">
        <f t="shared" si="4"/>
        <v/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8"/>
      <c r="B207" s="8"/>
      <c r="C207" s="8"/>
      <c r="D207" s="8"/>
      <c r="E207" s="8"/>
      <c r="F207" s="6"/>
      <c r="G207" s="7" t="str">
        <f t="shared" si="1"/>
        <v/>
      </c>
      <c r="H207" s="7">
        <f t="array" ref="H207">IFERROR(INDEX(Produtos!I:I,MATCH(C207&amp;D207,Produtos!B:B&amp;Produtos!C:C,0)),"")</f>
        <v>0</v>
      </c>
      <c r="I207" s="7" t="str">
        <f t="shared" si="5"/>
        <v/>
      </c>
      <c r="J207" s="8"/>
      <c r="K207" s="8" t="str">
        <f t="shared" si="3"/>
        <v>Pendente</v>
      </c>
      <c r="L207" s="8"/>
      <c r="M207" s="8" t="str">
        <f t="shared" si="4"/>
        <v/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8"/>
      <c r="B208" s="8"/>
      <c r="C208" s="8"/>
      <c r="D208" s="8"/>
      <c r="E208" s="8"/>
      <c r="F208" s="6"/>
      <c r="G208" s="7" t="str">
        <f t="shared" si="1"/>
        <v/>
      </c>
      <c r="H208" s="7">
        <f t="array" ref="H208">IFERROR(INDEX(Produtos!I:I,MATCH(C208&amp;D208,Produtos!B:B&amp;Produtos!C:C,0)),"")</f>
        <v>0</v>
      </c>
      <c r="I208" s="7" t="str">
        <f t="shared" si="5"/>
        <v/>
      </c>
      <c r="J208" s="8"/>
      <c r="K208" s="8" t="str">
        <f t="shared" si="3"/>
        <v>Pendente</v>
      </c>
      <c r="L208" s="8"/>
      <c r="M208" s="8" t="str">
        <f t="shared" si="4"/>
        <v/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8"/>
      <c r="B209" s="8"/>
      <c r="C209" s="8"/>
      <c r="D209" s="8"/>
      <c r="E209" s="8"/>
      <c r="F209" s="6"/>
      <c r="G209" s="7" t="str">
        <f t="shared" si="1"/>
        <v/>
      </c>
      <c r="H209" s="7">
        <f t="array" ref="H209">IFERROR(INDEX(Produtos!I:I,MATCH(C209&amp;D209,Produtos!B:B&amp;Produtos!C:C,0)),"")</f>
        <v>0</v>
      </c>
      <c r="I209" s="7" t="str">
        <f t="shared" si="5"/>
        <v/>
      </c>
      <c r="J209" s="8"/>
      <c r="K209" s="8" t="str">
        <f t="shared" si="3"/>
        <v>Pendente</v>
      </c>
      <c r="L209" s="8"/>
      <c r="M209" s="8" t="str">
        <f t="shared" si="4"/>
        <v/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8"/>
      <c r="B210" s="8"/>
      <c r="C210" s="8"/>
      <c r="D210" s="8"/>
      <c r="E210" s="8"/>
      <c r="F210" s="6"/>
      <c r="G210" s="7" t="str">
        <f t="shared" si="1"/>
        <v/>
      </c>
      <c r="H210" s="7">
        <f t="array" ref="H210">IFERROR(INDEX(Produtos!I:I,MATCH(C210&amp;D210,Produtos!B:B&amp;Produtos!C:C,0)),"")</f>
        <v>0</v>
      </c>
      <c r="I210" s="7" t="str">
        <f t="shared" si="5"/>
        <v/>
      </c>
      <c r="J210" s="8"/>
      <c r="K210" s="8" t="str">
        <f t="shared" si="3"/>
        <v>Pendente</v>
      </c>
      <c r="L210" s="8"/>
      <c r="M210" s="8" t="str">
        <f t="shared" si="4"/>
        <v/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8"/>
      <c r="B211" s="8"/>
      <c r="C211" s="8"/>
      <c r="D211" s="8"/>
      <c r="E211" s="8"/>
      <c r="F211" s="6"/>
      <c r="G211" s="7" t="str">
        <f t="shared" si="1"/>
        <v/>
      </c>
      <c r="H211" s="7">
        <f t="array" ref="H211">IFERROR(INDEX(Produtos!I:I,MATCH(C211&amp;D211,Produtos!B:B&amp;Produtos!C:C,0)),"")</f>
        <v>0</v>
      </c>
      <c r="I211" s="7" t="str">
        <f t="shared" si="5"/>
        <v/>
      </c>
      <c r="J211" s="8"/>
      <c r="K211" s="8" t="str">
        <f t="shared" si="3"/>
        <v>Pendente</v>
      </c>
      <c r="L211" s="8"/>
      <c r="M211" s="8" t="str">
        <f t="shared" si="4"/>
        <v/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8"/>
      <c r="B212" s="8"/>
      <c r="C212" s="8"/>
      <c r="D212" s="8"/>
      <c r="E212" s="8"/>
      <c r="F212" s="6"/>
      <c r="G212" s="7" t="str">
        <f t="shared" si="1"/>
        <v/>
      </c>
      <c r="H212" s="7">
        <f t="array" ref="H212">IFERROR(INDEX(Produtos!I:I,MATCH(C212&amp;D212,Produtos!B:B&amp;Produtos!C:C,0)),"")</f>
        <v>0</v>
      </c>
      <c r="I212" s="7" t="str">
        <f t="shared" si="5"/>
        <v/>
      </c>
      <c r="J212" s="8"/>
      <c r="K212" s="8" t="str">
        <f t="shared" si="3"/>
        <v>Pendente</v>
      </c>
      <c r="L212" s="8"/>
      <c r="M212" s="8" t="str">
        <f t="shared" si="4"/>
        <v/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8"/>
      <c r="B213" s="8"/>
      <c r="C213" s="8"/>
      <c r="D213" s="8"/>
      <c r="E213" s="8"/>
      <c r="F213" s="6"/>
      <c r="G213" s="7" t="str">
        <f t="shared" si="1"/>
        <v/>
      </c>
      <c r="H213" s="7">
        <f t="array" ref="H213">IFERROR(INDEX(Produtos!I:I,MATCH(C213&amp;D213,Produtos!B:B&amp;Produtos!C:C,0)),"")</f>
        <v>0</v>
      </c>
      <c r="I213" s="7" t="str">
        <f t="shared" si="5"/>
        <v/>
      </c>
      <c r="J213" s="8"/>
      <c r="K213" s="8" t="str">
        <f t="shared" si="3"/>
        <v>Pendente</v>
      </c>
      <c r="L213" s="8"/>
      <c r="M213" s="8" t="str">
        <f t="shared" si="4"/>
        <v/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8"/>
      <c r="B214" s="8"/>
      <c r="C214" s="8"/>
      <c r="D214" s="8"/>
      <c r="E214" s="8"/>
      <c r="F214" s="6"/>
      <c r="G214" s="7" t="str">
        <f t="shared" si="1"/>
        <v/>
      </c>
      <c r="H214" s="7">
        <f t="array" ref="H214">IFERROR(INDEX(Produtos!I:I,MATCH(C214&amp;D214,Produtos!B:B&amp;Produtos!C:C,0)),"")</f>
        <v>0</v>
      </c>
      <c r="I214" s="7" t="str">
        <f t="shared" si="5"/>
        <v/>
      </c>
      <c r="J214" s="8"/>
      <c r="K214" s="8" t="str">
        <f t="shared" si="3"/>
        <v>Pendente</v>
      </c>
      <c r="L214" s="8"/>
      <c r="M214" s="8" t="str">
        <f t="shared" si="4"/>
        <v/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8"/>
      <c r="B215" s="8"/>
      <c r="C215" s="8"/>
      <c r="D215" s="8"/>
      <c r="E215" s="8"/>
      <c r="F215" s="6"/>
      <c r="G215" s="7" t="str">
        <f t="shared" si="1"/>
        <v/>
      </c>
      <c r="H215" s="7">
        <f t="array" ref="H215">IFERROR(INDEX(Produtos!I:I,MATCH(C215&amp;D215,Produtos!B:B&amp;Produtos!C:C,0)),"")</f>
        <v>0</v>
      </c>
      <c r="I215" s="7" t="str">
        <f t="shared" si="5"/>
        <v/>
      </c>
      <c r="J215" s="8"/>
      <c r="K215" s="8" t="str">
        <f t="shared" si="3"/>
        <v>Pendente</v>
      </c>
      <c r="L215" s="8"/>
      <c r="M215" s="8" t="str">
        <f t="shared" si="4"/>
        <v/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8"/>
      <c r="B216" s="8"/>
      <c r="C216" s="8"/>
      <c r="D216" s="8"/>
      <c r="E216" s="8"/>
      <c r="F216" s="6"/>
      <c r="G216" s="7" t="str">
        <f t="shared" si="1"/>
        <v/>
      </c>
      <c r="H216" s="7">
        <f t="array" ref="H216">IFERROR(INDEX(Produtos!I:I,MATCH(C216&amp;D216,Produtos!B:B&amp;Produtos!C:C,0)),"")</f>
        <v>0</v>
      </c>
      <c r="I216" s="7" t="str">
        <f t="shared" si="5"/>
        <v/>
      </c>
      <c r="J216" s="8"/>
      <c r="K216" s="8" t="str">
        <f t="shared" si="3"/>
        <v>Pendente</v>
      </c>
      <c r="L216" s="8"/>
      <c r="M216" s="8" t="str">
        <f t="shared" si="4"/>
        <v/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8"/>
      <c r="B217" s="8"/>
      <c r="C217" s="8"/>
      <c r="D217" s="8"/>
      <c r="E217" s="8"/>
      <c r="F217" s="6"/>
      <c r="G217" s="7" t="str">
        <f t="shared" si="1"/>
        <v/>
      </c>
      <c r="H217" s="7">
        <f t="array" ref="H217">IFERROR(INDEX(Produtos!I:I,MATCH(C217&amp;D217,Produtos!B:B&amp;Produtos!C:C,0)),"")</f>
        <v>0</v>
      </c>
      <c r="I217" s="7" t="str">
        <f t="shared" si="5"/>
        <v/>
      </c>
      <c r="J217" s="8"/>
      <c r="K217" s="8" t="str">
        <f t="shared" si="3"/>
        <v>Pendente</v>
      </c>
      <c r="L217" s="8"/>
      <c r="M217" s="8" t="str">
        <f t="shared" si="4"/>
        <v/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8"/>
      <c r="B218" s="8"/>
      <c r="C218" s="8"/>
      <c r="D218" s="8"/>
      <c r="E218" s="8"/>
      <c r="F218" s="6"/>
      <c r="G218" s="7" t="str">
        <f t="shared" si="1"/>
        <v/>
      </c>
      <c r="H218" s="7">
        <f t="array" ref="H218">IFERROR(INDEX(Produtos!I:I,MATCH(C218&amp;D218,Produtos!B:B&amp;Produtos!C:C,0)),"")</f>
        <v>0</v>
      </c>
      <c r="I218" s="7" t="str">
        <f t="shared" si="5"/>
        <v/>
      </c>
      <c r="J218" s="8"/>
      <c r="K218" s="8" t="str">
        <f t="shared" si="3"/>
        <v>Pendente</v>
      </c>
      <c r="L218" s="8"/>
      <c r="M218" s="8" t="str">
        <f t="shared" si="4"/>
        <v/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8"/>
      <c r="B219" s="8"/>
      <c r="C219" s="8"/>
      <c r="D219" s="8"/>
      <c r="E219" s="8"/>
      <c r="F219" s="6"/>
      <c r="G219" s="7" t="str">
        <f t="shared" si="1"/>
        <v/>
      </c>
      <c r="H219" s="7">
        <f t="array" ref="H219">IFERROR(INDEX(Produtos!I:I,MATCH(C219&amp;D219,Produtos!B:B&amp;Produtos!C:C,0)),"")</f>
        <v>0</v>
      </c>
      <c r="I219" s="7" t="str">
        <f t="shared" si="5"/>
        <v/>
      </c>
      <c r="J219" s="8"/>
      <c r="K219" s="8" t="str">
        <f t="shared" si="3"/>
        <v>Pendente</v>
      </c>
      <c r="L219" s="8"/>
      <c r="M219" s="8" t="str">
        <f t="shared" si="4"/>
        <v/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8"/>
      <c r="B220" s="8"/>
      <c r="C220" s="8"/>
      <c r="D220" s="8"/>
      <c r="E220" s="8"/>
      <c r="F220" s="6"/>
      <c r="G220" s="7" t="str">
        <f t="shared" si="1"/>
        <v/>
      </c>
      <c r="H220" s="7">
        <f t="array" ref="H220">IFERROR(INDEX(Produtos!I:I,MATCH(C220&amp;D220,Produtos!B:B&amp;Produtos!C:C,0)),"")</f>
        <v>0</v>
      </c>
      <c r="I220" s="7" t="str">
        <f t="shared" si="5"/>
        <v/>
      </c>
      <c r="J220" s="8"/>
      <c r="K220" s="8" t="str">
        <f t="shared" si="3"/>
        <v>Pendente</v>
      </c>
      <c r="L220" s="8"/>
      <c r="M220" s="8" t="str">
        <f t="shared" si="4"/>
        <v/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8"/>
      <c r="B221" s="8"/>
      <c r="C221" s="8"/>
      <c r="D221" s="8"/>
      <c r="E221" s="8"/>
      <c r="F221" s="6"/>
      <c r="G221" s="7" t="str">
        <f t="shared" si="1"/>
        <v/>
      </c>
      <c r="H221" s="7">
        <f t="array" ref="H221">IFERROR(INDEX(Produtos!I:I,MATCH(C221&amp;D221,Produtos!B:B&amp;Produtos!C:C,0)),"")</f>
        <v>0</v>
      </c>
      <c r="I221" s="7" t="str">
        <f t="shared" si="5"/>
        <v/>
      </c>
      <c r="J221" s="8"/>
      <c r="K221" s="8" t="str">
        <f t="shared" si="3"/>
        <v>Pendente</v>
      </c>
      <c r="L221" s="8"/>
      <c r="M221" s="8" t="str">
        <f t="shared" si="4"/>
        <v/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8"/>
      <c r="B222" s="8"/>
      <c r="C222" s="8"/>
      <c r="D222" s="8"/>
      <c r="E222" s="8"/>
      <c r="F222" s="6"/>
      <c r="G222" s="7" t="str">
        <f t="shared" si="1"/>
        <v/>
      </c>
      <c r="H222" s="7">
        <f t="array" ref="H222">IFERROR(INDEX(Produtos!I:I,MATCH(C222&amp;D222,Produtos!B:B&amp;Produtos!C:C,0)),"")</f>
        <v>0</v>
      </c>
      <c r="I222" s="7" t="str">
        <f t="shared" si="5"/>
        <v/>
      </c>
      <c r="J222" s="8"/>
      <c r="K222" s="8" t="str">
        <f t="shared" si="3"/>
        <v>Pendente</v>
      </c>
      <c r="L222" s="8"/>
      <c r="M222" s="8" t="str">
        <f t="shared" si="4"/>
        <v/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8"/>
      <c r="B223" s="8"/>
      <c r="C223" s="8"/>
      <c r="D223" s="8"/>
      <c r="E223" s="8"/>
      <c r="F223" s="6"/>
      <c r="G223" s="7" t="str">
        <f t="shared" si="1"/>
        <v/>
      </c>
      <c r="H223" s="7">
        <f t="array" ref="H223">IFERROR(INDEX(Produtos!I:I,MATCH(C223&amp;D223,Produtos!B:B&amp;Produtos!C:C,0)),"")</f>
        <v>0</v>
      </c>
      <c r="I223" s="7" t="str">
        <f t="shared" si="5"/>
        <v/>
      </c>
      <c r="J223" s="8"/>
      <c r="K223" s="8" t="str">
        <f t="shared" si="3"/>
        <v>Pendente</v>
      </c>
      <c r="L223" s="8"/>
      <c r="M223" s="8" t="str">
        <f t="shared" si="4"/>
        <v/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8"/>
      <c r="B224" s="8"/>
      <c r="C224" s="8"/>
      <c r="D224" s="8"/>
      <c r="E224" s="8"/>
      <c r="F224" s="6"/>
      <c r="G224" s="7" t="str">
        <f t="shared" si="1"/>
        <v/>
      </c>
      <c r="H224" s="7">
        <f t="array" ref="H224">IFERROR(INDEX(Produtos!I:I,MATCH(C224&amp;D224,Produtos!B:B&amp;Produtos!C:C,0)),"")</f>
        <v>0</v>
      </c>
      <c r="I224" s="7" t="str">
        <f t="shared" si="5"/>
        <v/>
      </c>
      <c r="J224" s="8"/>
      <c r="K224" s="8" t="str">
        <f t="shared" si="3"/>
        <v>Pendente</v>
      </c>
      <c r="L224" s="8"/>
      <c r="M224" s="8" t="str">
        <f t="shared" si="4"/>
        <v/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8"/>
      <c r="B225" s="8"/>
      <c r="C225" s="8"/>
      <c r="D225" s="8"/>
      <c r="E225" s="8"/>
      <c r="F225" s="6"/>
      <c r="G225" s="7" t="str">
        <f t="shared" si="1"/>
        <v/>
      </c>
      <c r="H225" s="7">
        <f t="array" ref="H225">IFERROR(INDEX(Produtos!I:I,MATCH(C225&amp;D225,Produtos!B:B&amp;Produtos!C:C,0)),"")</f>
        <v>0</v>
      </c>
      <c r="I225" s="7" t="str">
        <f t="shared" si="5"/>
        <v/>
      </c>
      <c r="J225" s="8"/>
      <c r="K225" s="8" t="str">
        <f t="shared" si="3"/>
        <v>Pendente</v>
      </c>
      <c r="L225" s="8"/>
      <c r="M225" s="8" t="str">
        <f t="shared" si="4"/>
        <v/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8"/>
      <c r="B226" s="8"/>
      <c r="C226" s="8"/>
      <c r="D226" s="8"/>
      <c r="E226" s="8"/>
      <c r="F226" s="6"/>
      <c r="G226" s="7" t="str">
        <f t="shared" si="1"/>
        <v/>
      </c>
      <c r="H226" s="7">
        <f t="array" ref="H226">IFERROR(INDEX(Produtos!I:I,MATCH(C226&amp;D226,Produtos!B:B&amp;Produtos!C:C,0)),"")</f>
        <v>0</v>
      </c>
      <c r="I226" s="7" t="str">
        <f t="shared" si="5"/>
        <v/>
      </c>
      <c r="J226" s="8"/>
      <c r="K226" s="8" t="str">
        <f t="shared" si="3"/>
        <v>Pendente</v>
      </c>
      <c r="L226" s="8"/>
      <c r="M226" s="8" t="str">
        <f t="shared" si="4"/>
        <v/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8"/>
      <c r="B227" s="8"/>
      <c r="C227" s="8"/>
      <c r="D227" s="8"/>
      <c r="E227" s="8"/>
      <c r="F227" s="6"/>
      <c r="G227" s="7" t="str">
        <f t="shared" si="1"/>
        <v/>
      </c>
      <c r="H227" s="7">
        <f t="array" ref="H227">IFERROR(INDEX(Produtos!I:I,MATCH(C227&amp;D227,Produtos!B:B&amp;Produtos!C:C,0)),"")</f>
        <v>0</v>
      </c>
      <c r="I227" s="7" t="str">
        <f t="shared" si="5"/>
        <v/>
      </c>
      <c r="J227" s="8"/>
      <c r="K227" s="8" t="str">
        <f t="shared" si="3"/>
        <v>Pendente</v>
      </c>
      <c r="L227" s="8"/>
      <c r="M227" s="8" t="str">
        <f t="shared" si="4"/>
        <v/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8"/>
      <c r="B228" s="8"/>
      <c r="C228" s="8"/>
      <c r="D228" s="8"/>
      <c r="E228" s="8"/>
      <c r="F228" s="6"/>
      <c r="G228" s="7" t="str">
        <f t="shared" si="1"/>
        <v/>
      </c>
      <c r="H228" s="7">
        <f t="array" ref="H228">IFERROR(INDEX(Produtos!I:I,MATCH(C228&amp;D228,Produtos!B:B&amp;Produtos!C:C,0)),"")</f>
        <v>0</v>
      </c>
      <c r="I228" s="7" t="str">
        <f t="shared" si="5"/>
        <v/>
      </c>
      <c r="J228" s="8"/>
      <c r="K228" s="8" t="str">
        <f t="shared" si="3"/>
        <v>Pendente</v>
      </c>
      <c r="L228" s="8"/>
      <c r="M228" s="8" t="str">
        <f t="shared" si="4"/>
        <v/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8"/>
      <c r="B229" s="8"/>
      <c r="C229" s="8"/>
      <c r="D229" s="8"/>
      <c r="E229" s="8"/>
      <c r="F229" s="6"/>
      <c r="G229" s="7" t="str">
        <f t="shared" si="1"/>
        <v/>
      </c>
      <c r="H229" s="7">
        <f t="array" ref="H229">IFERROR(INDEX(Produtos!I:I,MATCH(C229&amp;D229,Produtos!B:B&amp;Produtos!C:C,0)),"")</f>
        <v>0</v>
      </c>
      <c r="I229" s="7" t="str">
        <f t="shared" si="5"/>
        <v/>
      </c>
      <c r="J229" s="8"/>
      <c r="K229" s="8" t="str">
        <f t="shared" si="3"/>
        <v>Pendente</v>
      </c>
      <c r="L229" s="8"/>
      <c r="M229" s="8" t="str">
        <f t="shared" si="4"/>
        <v/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8"/>
      <c r="B230" s="8"/>
      <c r="C230" s="8"/>
      <c r="D230" s="8"/>
      <c r="E230" s="8"/>
      <c r="F230" s="6"/>
      <c r="G230" s="7" t="str">
        <f t="shared" si="1"/>
        <v/>
      </c>
      <c r="H230" s="7">
        <f t="array" ref="H230">IFERROR(INDEX(Produtos!I:I,MATCH(C230&amp;D230,Produtos!B:B&amp;Produtos!C:C,0)),"")</f>
        <v>0</v>
      </c>
      <c r="I230" s="7" t="str">
        <f t="shared" si="5"/>
        <v/>
      </c>
      <c r="J230" s="8"/>
      <c r="K230" s="8" t="str">
        <f t="shared" si="3"/>
        <v>Pendente</v>
      </c>
      <c r="L230" s="8"/>
      <c r="M230" s="8" t="str">
        <f t="shared" si="4"/>
        <v/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8"/>
      <c r="B231" s="8"/>
      <c r="C231" s="8"/>
      <c r="D231" s="8"/>
      <c r="E231" s="8"/>
      <c r="F231" s="6"/>
      <c r="G231" s="7" t="str">
        <f t="shared" si="1"/>
        <v/>
      </c>
      <c r="H231" s="7">
        <f t="array" ref="H231">IFERROR(INDEX(Produtos!I:I,MATCH(C231&amp;D231,Produtos!B:B&amp;Produtos!C:C,0)),"")</f>
        <v>0</v>
      </c>
      <c r="I231" s="7" t="str">
        <f t="shared" si="5"/>
        <v/>
      </c>
      <c r="J231" s="8"/>
      <c r="K231" s="8" t="str">
        <f t="shared" si="3"/>
        <v>Pendente</v>
      </c>
      <c r="L231" s="8"/>
      <c r="M231" s="8" t="str">
        <f t="shared" si="4"/>
        <v/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8"/>
      <c r="B232" s="8"/>
      <c r="C232" s="8"/>
      <c r="D232" s="8"/>
      <c r="E232" s="8"/>
      <c r="F232" s="6"/>
      <c r="G232" s="7" t="str">
        <f t="shared" si="1"/>
        <v/>
      </c>
      <c r="H232" s="7">
        <f t="array" ref="H232">IFERROR(INDEX(Produtos!I:I,MATCH(C232&amp;D232,Produtos!B:B&amp;Produtos!C:C,0)),"")</f>
        <v>0</v>
      </c>
      <c r="I232" s="7" t="str">
        <f t="shared" si="5"/>
        <v/>
      </c>
      <c r="J232" s="8"/>
      <c r="K232" s="8" t="str">
        <f t="shared" si="3"/>
        <v>Pendente</v>
      </c>
      <c r="L232" s="8"/>
      <c r="M232" s="8" t="str">
        <f t="shared" si="4"/>
        <v/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8"/>
      <c r="B233" s="8"/>
      <c r="C233" s="8"/>
      <c r="D233" s="8"/>
      <c r="E233" s="8"/>
      <c r="F233" s="6"/>
      <c r="G233" s="7" t="str">
        <f t="shared" si="1"/>
        <v/>
      </c>
      <c r="H233" s="7">
        <f t="array" ref="H233">IFERROR(INDEX(Produtos!I:I,MATCH(C233&amp;D233,Produtos!B:B&amp;Produtos!C:C,0)),"")</f>
        <v>0</v>
      </c>
      <c r="I233" s="7" t="str">
        <f t="shared" si="5"/>
        <v/>
      </c>
      <c r="J233" s="8"/>
      <c r="K233" s="8" t="str">
        <f t="shared" si="3"/>
        <v>Pendente</v>
      </c>
      <c r="L233" s="8"/>
      <c r="M233" s="8" t="str">
        <f t="shared" si="4"/>
        <v/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8"/>
      <c r="B234" s="8"/>
      <c r="C234" s="8"/>
      <c r="D234" s="8"/>
      <c r="E234" s="8"/>
      <c r="F234" s="6"/>
      <c r="G234" s="7" t="str">
        <f t="shared" si="1"/>
        <v/>
      </c>
      <c r="H234" s="7">
        <f t="array" ref="H234">IFERROR(INDEX(Produtos!I:I,MATCH(C234&amp;D234,Produtos!B:B&amp;Produtos!C:C,0)),"")</f>
        <v>0</v>
      </c>
      <c r="I234" s="7" t="str">
        <f t="shared" si="5"/>
        <v/>
      </c>
      <c r="J234" s="8"/>
      <c r="K234" s="8" t="str">
        <f t="shared" si="3"/>
        <v>Pendente</v>
      </c>
      <c r="L234" s="8"/>
      <c r="M234" s="8" t="str">
        <f t="shared" si="4"/>
        <v/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8"/>
      <c r="B235" s="8"/>
      <c r="C235" s="8"/>
      <c r="D235" s="8"/>
      <c r="E235" s="8"/>
      <c r="F235" s="6"/>
      <c r="G235" s="7" t="str">
        <f t="shared" si="1"/>
        <v/>
      </c>
      <c r="H235" s="7">
        <f t="array" ref="H235">IFERROR(INDEX(Produtos!I:I,MATCH(C235&amp;D235,Produtos!B:B&amp;Produtos!C:C,0)),"")</f>
        <v>0</v>
      </c>
      <c r="I235" s="7" t="str">
        <f t="shared" si="5"/>
        <v/>
      </c>
      <c r="J235" s="8"/>
      <c r="K235" s="8" t="str">
        <f t="shared" si="3"/>
        <v>Pendente</v>
      </c>
      <c r="L235" s="8"/>
      <c r="M235" s="8" t="str">
        <f t="shared" si="4"/>
        <v/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8"/>
      <c r="B236" s="8"/>
      <c r="C236" s="8"/>
      <c r="D236" s="8"/>
      <c r="E236" s="8"/>
      <c r="F236" s="6"/>
      <c r="G236" s="7" t="str">
        <f t="shared" si="1"/>
        <v/>
      </c>
      <c r="H236" s="7">
        <f t="array" ref="H236">IFERROR(INDEX(Produtos!I:I,MATCH(C236&amp;D236,Produtos!B:B&amp;Produtos!C:C,0)),"")</f>
        <v>0</v>
      </c>
      <c r="I236" s="7" t="str">
        <f t="shared" si="5"/>
        <v/>
      </c>
      <c r="J236" s="8"/>
      <c r="K236" s="8" t="str">
        <f t="shared" si="3"/>
        <v>Pendente</v>
      </c>
      <c r="L236" s="8"/>
      <c r="M236" s="8" t="str">
        <f t="shared" si="4"/>
        <v/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8"/>
      <c r="B237" s="8"/>
      <c r="C237" s="8"/>
      <c r="D237" s="8"/>
      <c r="E237" s="8"/>
      <c r="F237" s="6"/>
      <c r="G237" s="7" t="str">
        <f t="shared" si="1"/>
        <v/>
      </c>
      <c r="H237" s="7">
        <f t="array" ref="H237">IFERROR(INDEX(Produtos!I:I,MATCH(C237&amp;D237,Produtos!B:B&amp;Produtos!C:C,0)),"")</f>
        <v>0</v>
      </c>
      <c r="I237" s="7" t="str">
        <f t="shared" si="5"/>
        <v/>
      </c>
      <c r="J237" s="8"/>
      <c r="K237" s="8" t="str">
        <f t="shared" si="3"/>
        <v>Pendente</v>
      </c>
      <c r="L237" s="8"/>
      <c r="M237" s="8" t="str">
        <f t="shared" si="4"/>
        <v/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8"/>
      <c r="B238" s="8"/>
      <c r="C238" s="8"/>
      <c r="D238" s="8"/>
      <c r="E238" s="8"/>
      <c r="F238" s="6"/>
      <c r="G238" s="7" t="str">
        <f t="shared" si="1"/>
        <v/>
      </c>
      <c r="H238" s="7">
        <f t="array" ref="H238">IFERROR(INDEX(Produtos!I:I,MATCH(C238&amp;D238,Produtos!B:B&amp;Produtos!C:C,0)),"")</f>
        <v>0</v>
      </c>
      <c r="I238" s="7" t="str">
        <f t="shared" si="5"/>
        <v/>
      </c>
      <c r="J238" s="8"/>
      <c r="K238" s="8" t="str">
        <f t="shared" si="3"/>
        <v>Pendente</v>
      </c>
      <c r="L238" s="8"/>
      <c r="M238" s="8" t="str">
        <f t="shared" si="4"/>
        <v/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8"/>
      <c r="B239" s="8"/>
      <c r="C239" s="8"/>
      <c r="D239" s="8"/>
      <c r="E239" s="8"/>
      <c r="F239" s="6"/>
      <c r="G239" s="7" t="str">
        <f t="shared" si="1"/>
        <v/>
      </c>
      <c r="H239" s="7">
        <f t="array" ref="H239">IFERROR(INDEX(Produtos!I:I,MATCH(C239&amp;D239,Produtos!B:B&amp;Produtos!C:C,0)),"")</f>
        <v>0</v>
      </c>
      <c r="I239" s="7" t="str">
        <f t="shared" si="5"/>
        <v/>
      </c>
      <c r="J239" s="8"/>
      <c r="K239" s="8" t="str">
        <f t="shared" si="3"/>
        <v>Pendente</v>
      </c>
      <c r="L239" s="8"/>
      <c r="M239" s="8" t="str">
        <f t="shared" si="4"/>
        <v/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8"/>
      <c r="B240" s="8"/>
      <c r="C240" s="8"/>
      <c r="D240" s="8"/>
      <c r="E240" s="8"/>
      <c r="F240" s="6"/>
      <c r="G240" s="7" t="str">
        <f t="shared" si="1"/>
        <v/>
      </c>
      <c r="H240" s="7">
        <f t="array" ref="H240">IFERROR(INDEX(Produtos!I:I,MATCH(C240&amp;D240,Produtos!B:B&amp;Produtos!C:C,0)),"")</f>
        <v>0</v>
      </c>
      <c r="I240" s="7" t="str">
        <f t="shared" si="5"/>
        <v/>
      </c>
      <c r="J240" s="8"/>
      <c r="K240" s="8" t="str">
        <f t="shared" si="3"/>
        <v>Pendente</v>
      </c>
      <c r="L240" s="8"/>
      <c r="M240" s="8" t="str">
        <f t="shared" si="4"/>
        <v/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8"/>
      <c r="B241" s="8"/>
      <c r="C241" s="8"/>
      <c r="D241" s="8"/>
      <c r="E241" s="8"/>
      <c r="F241" s="6"/>
      <c r="G241" s="7" t="str">
        <f t="shared" si="1"/>
        <v/>
      </c>
      <c r="H241" s="7">
        <f t="array" ref="H241">IFERROR(INDEX(Produtos!I:I,MATCH(C241&amp;D241,Produtos!B:B&amp;Produtos!C:C,0)),"")</f>
        <v>0</v>
      </c>
      <c r="I241" s="7" t="str">
        <f t="shared" si="5"/>
        <v/>
      </c>
      <c r="J241" s="8"/>
      <c r="K241" s="8" t="str">
        <f t="shared" si="3"/>
        <v>Pendente</v>
      </c>
      <c r="L241" s="8"/>
      <c r="M241" s="8" t="str">
        <f t="shared" si="4"/>
        <v/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8"/>
      <c r="B242" s="8"/>
      <c r="C242" s="8"/>
      <c r="D242" s="8"/>
      <c r="E242" s="8"/>
      <c r="F242" s="6"/>
      <c r="G242" s="7" t="str">
        <f t="shared" si="1"/>
        <v/>
      </c>
      <c r="H242" s="7">
        <f t="array" ref="H242">IFERROR(INDEX(Produtos!I:I,MATCH(C242&amp;D242,Produtos!B:B&amp;Produtos!C:C,0)),"")</f>
        <v>0</v>
      </c>
      <c r="I242" s="7" t="str">
        <f t="shared" si="5"/>
        <v/>
      </c>
      <c r="J242" s="8"/>
      <c r="K242" s="8" t="str">
        <f t="shared" si="3"/>
        <v>Pendente</v>
      </c>
      <c r="L242" s="8"/>
      <c r="M242" s="8" t="str">
        <f t="shared" si="4"/>
        <v/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8"/>
      <c r="B243" s="8"/>
      <c r="C243" s="8"/>
      <c r="D243" s="8"/>
      <c r="E243" s="8"/>
      <c r="F243" s="6"/>
      <c r="G243" s="7" t="str">
        <f t="shared" si="1"/>
        <v/>
      </c>
      <c r="H243" s="7">
        <f t="array" ref="H243">IFERROR(INDEX(Produtos!I:I,MATCH(C243&amp;D243,Produtos!B:B&amp;Produtos!C:C,0)),"")</f>
        <v>0</v>
      </c>
      <c r="I243" s="7" t="str">
        <f t="shared" si="5"/>
        <v/>
      </c>
      <c r="J243" s="8"/>
      <c r="K243" s="8" t="str">
        <f t="shared" si="3"/>
        <v>Pendente</v>
      </c>
      <c r="L243" s="8"/>
      <c r="M243" s="8" t="str">
        <f t="shared" si="4"/>
        <v/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8"/>
      <c r="B244" s="8"/>
      <c r="C244" s="8"/>
      <c r="D244" s="8"/>
      <c r="E244" s="8"/>
      <c r="F244" s="6"/>
      <c r="G244" s="7" t="str">
        <f t="shared" si="1"/>
        <v/>
      </c>
      <c r="H244" s="7">
        <f t="array" ref="H244">IFERROR(INDEX(Produtos!I:I,MATCH(C244&amp;D244,Produtos!B:B&amp;Produtos!C:C,0)),"")</f>
        <v>0</v>
      </c>
      <c r="I244" s="7" t="str">
        <f t="shared" si="5"/>
        <v/>
      </c>
      <c r="J244" s="8"/>
      <c r="K244" s="8" t="str">
        <f t="shared" si="3"/>
        <v>Pendente</v>
      </c>
      <c r="L244" s="8"/>
      <c r="M244" s="8" t="str">
        <f t="shared" si="4"/>
        <v/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8"/>
      <c r="B245" s="8"/>
      <c r="C245" s="8"/>
      <c r="D245" s="8"/>
      <c r="E245" s="8"/>
      <c r="F245" s="6"/>
      <c r="G245" s="7" t="str">
        <f t="shared" si="1"/>
        <v/>
      </c>
      <c r="H245" s="7">
        <f t="array" ref="H245">IFERROR(INDEX(Produtos!I:I,MATCH(C245&amp;D245,Produtos!B:B&amp;Produtos!C:C,0)),"")</f>
        <v>0</v>
      </c>
      <c r="I245" s="7" t="str">
        <f t="shared" si="5"/>
        <v/>
      </c>
      <c r="J245" s="8"/>
      <c r="K245" s="8" t="str">
        <f t="shared" si="3"/>
        <v>Pendente</v>
      </c>
      <c r="L245" s="8"/>
      <c r="M245" s="8" t="str">
        <f t="shared" si="4"/>
        <v/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8"/>
      <c r="B246" s="8"/>
      <c r="C246" s="8"/>
      <c r="D246" s="8"/>
      <c r="E246" s="8"/>
      <c r="F246" s="6"/>
      <c r="G246" s="7" t="str">
        <f t="shared" si="1"/>
        <v/>
      </c>
      <c r="H246" s="7">
        <f t="array" ref="H246">IFERROR(INDEX(Produtos!I:I,MATCH(C246&amp;D246,Produtos!B:B&amp;Produtos!C:C,0)),"")</f>
        <v>0</v>
      </c>
      <c r="I246" s="7" t="str">
        <f t="shared" si="5"/>
        <v/>
      </c>
      <c r="J246" s="8"/>
      <c r="K246" s="8" t="str">
        <f t="shared" si="3"/>
        <v>Pendente</v>
      </c>
      <c r="L246" s="8"/>
      <c r="M246" s="8" t="str">
        <f t="shared" si="4"/>
        <v/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8"/>
      <c r="B247" s="8"/>
      <c r="C247" s="8"/>
      <c r="D247" s="8"/>
      <c r="E247" s="8"/>
      <c r="F247" s="6"/>
      <c r="G247" s="7" t="str">
        <f t="shared" si="1"/>
        <v/>
      </c>
      <c r="H247" s="7">
        <f t="array" ref="H247">IFERROR(INDEX(Produtos!I:I,MATCH(C247&amp;D247,Produtos!B:B&amp;Produtos!C:C,0)),"")</f>
        <v>0</v>
      </c>
      <c r="I247" s="7" t="str">
        <f t="shared" si="5"/>
        <v/>
      </c>
      <c r="J247" s="8"/>
      <c r="K247" s="8" t="str">
        <f t="shared" si="3"/>
        <v>Pendente</v>
      </c>
      <c r="L247" s="8"/>
      <c r="M247" s="8" t="str">
        <f t="shared" si="4"/>
        <v/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8"/>
      <c r="B248" s="8"/>
      <c r="C248" s="8"/>
      <c r="D248" s="8"/>
      <c r="E248" s="8"/>
      <c r="F248" s="6"/>
      <c r="G248" s="7" t="str">
        <f t="shared" si="1"/>
        <v/>
      </c>
      <c r="H248" s="7">
        <f t="array" ref="H248">IFERROR(INDEX(Produtos!I:I,MATCH(C248&amp;D248,Produtos!B:B&amp;Produtos!C:C,0)),"")</f>
        <v>0</v>
      </c>
      <c r="I248" s="7" t="str">
        <f t="shared" si="5"/>
        <v/>
      </c>
      <c r="J248" s="8"/>
      <c r="K248" s="8" t="str">
        <f t="shared" si="3"/>
        <v>Pendente</v>
      </c>
      <c r="L248" s="8"/>
      <c r="M248" s="8" t="str">
        <f t="shared" si="4"/>
        <v/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8"/>
      <c r="B249" s="8"/>
      <c r="C249" s="8"/>
      <c r="D249" s="8"/>
      <c r="E249" s="8"/>
      <c r="F249" s="6"/>
      <c r="G249" s="7" t="str">
        <f t="shared" si="1"/>
        <v/>
      </c>
      <c r="H249" s="7">
        <f t="array" ref="H249">IFERROR(INDEX(Produtos!I:I,MATCH(C249&amp;D249,Produtos!B:B&amp;Produtos!C:C,0)),"")</f>
        <v>0</v>
      </c>
      <c r="I249" s="7" t="str">
        <f t="shared" si="5"/>
        <v/>
      </c>
      <c r="J249" s="8"/>
      <c r="K249" s="8" t="str">
        <f t="shared" si="3"/>
        <v>Pendente</v>
      </c>
      <c r="L249" s="8"/>
      <c r="M249" s="8" t="str">
        <f t="shared" si="4"/>
        <v/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8"/>
      <c r="B250" s="8"/>
      <c r="C250" s="8"/>
      <c r="D250" s="8"/>
      <c r="E250" s="8"/>
      <c r="F250" s="6"/>
      <c r="G250" s="7" t="str">
        <f t="shared" si="1"/>
        <v/>
      </c>
      <c r="H250" s="7">
        <f t="array" ref="H250">IFERROR(INDEX(Produtos!I:I,MATCH(C250&amp;D250,Produtos!B:B&amp;Produtos!C:C,0)),"")</f>
        <v>0</v>
      </c>
      <c r="I250" s="7" t="str">
        <f t="shared" si="5"/>
        <v/>
      </c>
      <c r="J250" s="8"/>
      <c r="K250" s="8" t="str">
        <f t="shared" si="3"/>
        <v>Pendente</v>
      </c>
      <c r="L250" s="8"/>
      <c r="M250" s="8" t="str">
        <f t="shared" si="4"/>
        <v/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8"/>
      <c r="B251" s="8"/>
      <c r="C251" s="8"/>
      <c r="D251" s="8"/>
      <c r="E251" s="8"/>
      <c r="F251" s="6"/>
      <c r="G251" s="7" t="str">
        <f t="shared" si="1"/>
        <v/>
      </c>
      <c r="H251" s="7">
        <f t="array" ref="H251">IFERROR(INDEX(Produtos!I:I,MATCH(C251&amp;D251,Produtos!B:B&amp;Produtos!C:C,0)),"")</f>
        <v>0</v>
      </c>
      <c r="I251" s="7" t="str">
        <f t="shared" si="5"/>
        <v/>
      </c>
      <c r="J251" s="8"/>
      <c r="K251" s="8" t="str">
        <f t="shared" si="3"/>
        <v>Pendente</v>
      </c>
      <c r="L251" s="8"/>
      <c r="M251" s="8" t="str">
        <f t="shared" si="4"/>
        <v/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8"/>
      <c r="B252" s="8"/>
      <c r="C252" s="8"/>
      <c r="D252" s="8"/>
      <c r="E252" s="8"/>
      <c r="F252" s="6"/>
      <c r="G252" s="7" t="str">
        <f t="shared" si="1"/>
        <v/>
      </c>
      <c r="H252" s="7">
        <f t="array" ref="H252">IFERROR(INDEX(Produtos!I:I,MATCH(C252&amp;D252,Produtos!B:B&amp;Produtos!C:C,0)),"")</f>
        <v>0</v>
      </c>
      <c r="I252" s="7" t="str">
        <f t="shared" si="5"/>
        <v/>
      </c>
      <c r="J252" s="8"/>
      <c r="K252" s="8" t="str">
        <f t="shared" si="3"/>
        <v>Pendente</v>
      </c>
      <c r="L252" s="8"/>
      <c r="M252" s="8" t="str">
        <f t="shared" si="4"/>
        <v/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8"/>
      <c r="B253" s="8"/>
      <c r="C253" s="8"/>
      <c r="D253" s="8"/>
      <c r="E253" s="8"/>
      <c r="F253" s="6"/>
      <c r="G253" s="7" t="str">
        <f t="shared" si="1"/>
        <v/>
      </c>
      <c r="H253" s="7">
        <f t="array" ref="H253">IFERROR(INDEX(Produtos!I:I,MATCH(C253&amp;D253,Produtos!B:B&amp;Produtos!C:C,0)),"")</f>
        <v>0</v>
      </c>
      <c r="I253" s="7" t="str">
        <f t="shared" si="5"/>
        <v/>
      </c>
      <c r="J253" s="8"/>
      <c r="K253" s="8" t="str">
        <f t="shared" si="3"/>
        <v>Pendente</v>
      </c>
      <c r="L253" s="8"/>
      <c r="M253" s="8" t="str">
        <f t="shared" si="4"/>
        <v/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8"/>
      <c r="B254" s="8"/>
      <c r="C254" s="8"/>
      <c r="D254" s="8"/>
      <c r="E254" s="8"/>
      <c r="F254" s="6"/>
      <c r="G254" s="7" t="str">
        <f t="shared" si="1"/>
        <v/>
      </c>
      <c r="H254" s="7">
        <f t="array" ref="H254">IFERROR(INDEX(Produtos!I:I,MATCH(C254&amp;D254,Produtos!B:B&amp;Produtos!C:C,0)),"")</f>
        <v>0</v>
      </c>
      <c r="I254" s="7" t="str">
        <f t="shared" si="5"/>
        <v/>
      </c>
      <c r="J254" s="8"/>
      <c r="K254" s="8" t="str">
        <f t="shared" si="3"/>
        <v>Pendente</v>
      </c>
      <c r="L254" s="8"/>
      <c r="M254" s="8" t="str">
        <f t="shared" si="4"/>
        <v/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8"/>
      <c r="B255" s="8"/>
      <c r="C255" s="8"/>
      <c r="D255" s="8"/>
      <c r="E255" s="8"/>
      <c r="F255" s="6"/>
      <c r="G255" s="7" t="str">
        <f t="shared" si="1"/>
        <v/>
      </c>
      <c r="H255" s="7">
        <f t="array" ref="H255">IFERROR(INDEX(Produtos!I:I,MATCH(C255&amp;D255,Produtos!B:B&amp;Produtos!C:C,0)),"")</f>
        <v>0</v>
      </c>
      <c r="I255" s="7" t="str">
        <f t="shared" si="5"/>
        <v/>
      </c>
      <c r="J255" s="8"/>
      <c r="K255" s="8" t="str">
        <f t="shared" si="3"/>
        <v>Pendente</v>
      </c>
      <c r="L255" s="8"/>
      <c r="M255" s="8" t="str">
        <f t="shared" si="4"/>
        <v/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8"/>
      <c r="B256" s="8"/>
      <c r="C256" s="8"/>
      <c r="D256" s="8"/>
      <c r="E256" s="8"/>
      <c r="F256" s="6"/>
      <c r="G256" s="7" t="str">
        <f t="shared" si="1"/>
        <v/>
      </c>
      <c r="H256" s="7">
        <f t="array" ref="H256">IFERROR(INDEX(Produtos!I:I,MATCH(C256&amp;D256,Produtos!B:B&amp;Produtos!C:C,0)),"")</f>
        <v>0</v>
      </c>
      <c r="I256" s="7" t="str">
        <f t="shared" si="5"/>
        <v/>
      </c>
      <c r="J256" s="8"/>
      <c r="K256" s="8" t="str">
        <f t="shared" si="3"/>
        <v>Pendente</v>
      </c>
      <c r="L256" s="8"/>
      <c r="M256" s="8" t="str">
        <f t="shared" si="4"/>
        <v/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8"/>
      <c r="B257" s="8"/>
      <c r="C257" s="8"/>
      <c r="D257" s="8"/>
      <c r="E257" s="8"/>
      <c r="F257" s="6"/>
      <c r="G257" s="7" t="str">
        <f t="shared" si="1"/>
        <v/>
      </c>
      <c r="H257" s="7">
        <f t="array" ref="H257">IFERROR(INDEX(Produtos!I:I,MATCH(C257&amp;D257,Produtos!B:B&amp;Produtos!C:C,0)),"")</f>
        <v>0</v>
      </c>
      <c r="I257" s="7" t="str">
        <f t="shared" si="5"/>
        <v/>
      </c>
      <c r="J257" s="8"/>
      <c r="K257" s="8" t="str">
        <f t="shared" si="3"/>
        <v>Pendente</v>
      </c>
      <c r="L257" s="8"/>
      <c r="M257" s="8" t="str">
        <f t="shared" si="4"/>
        <v/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8"/>
      <c r="B258" s="8"/>
      <c r="C258" s="8"/>
      <c r="D258" s="8"/>
      <c r="E258" s="8"/>
      <c r="F258" s="6"/>
      <c r="G258" s="7" t="str">
        <f t="shared" si="1"/>
        <v/>
      </c>
      <c r="H258" s="7">
        <f t="array" ref="H258">IFERROR(INDEX(Produtos!I:I,MATCH(C258&amp;D258,Produtos!B:B&amp;Produtos!C:C,0)),"")</f>
        <v>0</v>
      </c>
      <c r="I258" s="7" t="str">
        <f t="shared" si="5"/>
        <v/>
      </c>
      <c r="J258" s="8"/>
      <c r="K258" s="8" t="str">
        <f t="shared" si="3"/>
        <v>Pendente</v>
      </c>
      <c r="L258" s="8"/>
      <c r="M258" s="8" t="str">
        <f t="shared" si="4"/>
        <v/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8"/>
      <c r="B259" s="8"/>
      <c r="C259" s="8"/>
      <c r="D259" s="8"/>
      <c r="E259" s="8"/>
      <c r="F259" s="6"/>
      <c r="G259" s="7" t="str">
        <f t="shared" si="1"/>
        <v/>
      </c>
      <c r="H259" s="7">
        <f t="array" ref="H259">IFERROR(INDEX(Produtos!I:I,MATCH(C259&amp;D259,Produtos!B:B&amp;Produtos!C:C,0)),"")</f>
        <v>0</v>
      </c>
      <c r="I259" s="7" t="str">
        <f t="shared" si="5"/>
        <v/>
      </c>
      <c r="J259" s="8"/>
      <c r="K259" s="8" t="str">
        <f t="shared" si="3"/>
        <v>Pendente</v>
      </c>
      <c r="L259" s="8"/>
      <c r="M259" s="8" t="str">
        <f t="shared" si="4"/>
        <v/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8"/>
      <c r="B260" s="8"/>
      <c r="C260" s="8"/>
      <c r="D260" s="8"/>
      <c r="E260" s="8"/>
      <c r="F260" s="6"/>
      <c r="G260" s="7" t="str">
        <f t="shared" si="1"/>
        <v/>
      </c>
      <c r="H260" s="7">
        <f t="array" ref="H260">IFERROR(INDEX(Produtos!I:I,MATCH(C260&amp;D260,Produtos!B:B&amp;Produtos!C:C,0)),"")</f>
        <v>0</v>
      </c>
      <c r="I260" s="7" t="str">
        <f t="shared" si="5"/>
        <v/>
      </c>
      <c r="J260" s="8"/>
      <c r="K260" s="8" t="str">
        <f t="shared" si="3"/>
        <v>Pendente</v>
      </c>
      <c r="L260" s="8"/>
      <c r="M260" s="8" t="str">
        <f t="shared" si="4"/>
        <v/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8"/>
      <c r="B261" s="8"/>
      <c r="C261" s="8"/>
      <c r="D261" s="8"/>
      <c r="E261" s="8"/>
      <c r="F261" s="6"/>
      <c r="G261" s="7" t="str">
        <f t="shared" si="1"/>
        <v/>
      </c>
      <c r="H261" s="7">
        <f t="array" ref="H261">IFERROR(INDEX(Produtos!I:I,MATCH(C261&amp;D261,Produtos!B:B&amp;Produtos!C:C,0)),"")</f>
        <v>0</v>
      </c>
      <c r="I261" s="7" t="str">
        <f t="shared" si="5"/>
        <v/>
      </c>
      <c r="J261" s="8"/>
      <c r="K261" s="8" t="str">
        <f t="shared" si="3"/>
        <v>Pendente</v>
      </c>
      <c r="L261" s="8"/>
      <c r="M261" s="8" t="str">
        <f t="shared" si="4"/>
        <v/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8"/>
      <c r="B262" s="8"/>
      <c r="C262" s="8"/>
      <c r="D262" s="8"/>
      <c r="E262" s="8"/>
      <c r="F262" s="6"/>
      <c r="G262" s="7" t="str">
        <f t="shared" si="1"/>
        <v/>
      </c>
      <c r="H262" s="7">
        <f t="array" ref="H262">IFERROR(INDEX(Produtos!I:I,MATCH(C262&amp;D262,Produtos!B:B&amp;Produtos!C:C,0)),"")</f>
        <v>0</v>
      </c>
      <c r="I262" s="7" t="str">
        <f t="shared" si="5"/>
        <v/>
      </c>
      <c r="J262" s="8"/>
      <c r="K262" s="8" t="str">
        <f t="shared" si="3"/>
        <v>Pendente</v>
      </c>
      <c r="L262" s="8"/>
      <c r="M262" s="8" t="str">
        <f t="shared" si="4"/>
        <v/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8"/>
      <c r="B263" s="8"/>
      <c r="C263" s="8"/>
      <c r="D263" s="8"/>
      <c r="E263" s="8"/>
      <c r="F263" s="6"/>
      <c r="G263" s="7" t="str">
        <f t="shared" si="1"/>
        <v/>
      </c>
      <c r="H263" s="7">
        <f t="array" ref="H263">IFERROR(INDEX(Produtos!I:I,MATCH(C263&amp;D263,Produtos!B:B&amp;Produtos!C:C,0)),"")</f>
        <v>0</v>
      </c>
      <c r="I263" s="7" t="str">
        <f t="shared" si="5"/>
        <v/>
      </c>
      <c r="J263" s="8"/>
      <c r="K263" s="8" t="str">
        <f t="shared" si="3"/>
        <v>Pendente</v>
      </c>
      <c r="L263" s="8"/>
      <c r="M263" s="8" t="str">
        <f t="shared" si="4"/>
        <v/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8"/>
      <c r="B264" s="8"/>
      <c r="C264" s="8"/>
      <c r="D264" s="8"/>
      <c r="E264" s="8"/>
      <c r="F264" s="6"/>
      <c r="G264" s="7" t="str">
        <f t="shared" si="1"/>
        <v/>
      </c>
      <c r="H264" s="7">
        <f t="array" ref="H264">IFERROR(INDEX(Produtos!I:I,MATCH(C264&amp;D264,Produtos!B:B&amp;Produtos!C:C,0)),"")</f>
        <v>0</v>
      </c>
      <c r="I264" s="7" t="str">
        <f t="shared" si="5"/>
        <v/>
      </c>
      <c r="J264" s="8"/>
      <c r="K264" s="8" t="str">
        <f t="shared" si="3"/>
        <v>Pendente</v>
      </c>
      <c r="L264" s="8"/>
      <c r="M264" s="8" t="str">
        <f t="shared" si="4"/>
        <v/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8"/>
      <c r="B265" s="8"/>
      <c r="C265" s="8"/>
      <c r="D265" s="8"/>
      <c r="E265" s="8"/>
      <c r="F265" s="6"/>
      <c r="G265" s="7" t="str">
        <f t="shared" si="1"/>
        <v/>
      </c>
      <c r="H265" s="7">
        <f t="array" ref="H265">IFERROR(INDEX(Produtos!I:I,MATCH(C265&amp;D265,Produtos!B:B&amp;Produtos!C:C,0)),"")</f>
        <v>0</v>
      </c>
      <c r="I265" s="7" t="str">
        <f t="shared" si="5"/>
        <v/>
      </c>
      <c r="J265" s="8"/>
      <c r="K265" s="8" t="str">
        <f t="shared" si="3"/>
        <v>Pendente</v>
      </c>
      <c r="L265" s="8"/>
      <c r="M265" s="8" t="str">
        <f t="shared" si="4"/>
        <v/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8"/>
      <c r="B266" s="8"/>
      <c r="C266" s="8"/>
      <c r="D266" s="8"/>
      <c r="E266" s="8"/>
      <c r="F266" s="6"/>
      <c r="G266" s="7" t="str">
        <f t="shared" si="1"/>
        <v/>
      </c>
      <c r="H266" s="7">
        <f t="array" ref="H266">IFERROR(INDEX(Produtos!I:I,MATCH(C266&amp;D266,Produtos!B:B&amp;Produtos!C:C,0)),"")</f>
        <v>0</v>
      </c>
      <c r="I266" s="7" t="str">
        <f t="shared" si="5"/>
        <v/>
      </c>
      <c r="J266" s="8"/>
      <c r="K266" s="8" t="str">
        <f t="shared" si="3"/>
        <v>Pendente</v>
      </c>
      <c r="L266" s="8"/>
      <c r="M266" s="8" t="str">
        <f t="shared" si="4"/>
        <v/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8"/>
      <c r="B267" s="8"/>
      <c r="C267" s="8"/>
      <c r="D267" s="8"/>
      <c r="E267" s="8"/>
      <c r="F267" s="6"/>
      <c r="G267" s="7" t="str">
        <f t="shared" si="1"/>
        <v/>
      </c>
      <c r="H267" s="7">
        <f t="array" ref="H267">IFERROR(INDEX(Produtos!I:I,MATCH(C267&amp;D267,Produtos!B:B&amp;Produtos!C:C,0)),"")</f>
        <v>0</v>
      </c>
      <c r="I267" s="7" t="str">
        <f t="shared" si="5"/>
        <v/>
      </c>
      <c r="J267" s="8"/>
      <c r="K267" s="8" t="str">
        <f t="shared" si="3"/>
        <v>Pendente</v>
      </c>
      <c r="L267" s="8"/>
      <c r="M267" s="8" t="str">
        <f t="shared" si="4"/>
        <v/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8"/>
      <c r="B268" s="8"/>
      <c r="C268" s="8"/>
      <c r="D268" s="8"/>
      <c r="E268" s="8"/>
      <c r="F268" s="6"/>
      <c r="G268" s="7" t="str">
        <f t="shared" si="1"/>
        <v/>
      </c>
      <c r="H268" s="7">
        <f t="array" ref="H268">IFERROR(INDEX(Produtos!I:I,MATCH(C268&amp;D268,Produtos!B:B&amp;Produtos!C:C,0)),"")</f>
        <v>0</v>
      </c>
      <c r="I268" s="7" t="str">
        <f t="shared" si="5"/>
        <v/>
      </c>
      <c r="J268" s="8"/>
      <c r="K268" s="8" t="str">
        <f t="shared" si="3"/>
        <v>Pendente</v>
      </c>
      <c r="L268" s="8"/>
      <c r="M268" s="8" t="str">
        <f t="shared" si="4"/>
        <v/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8"/>
      <c r="B269" s="8"/>
      <c r="C269" s="8"/>
      <c r="D269" s="8"/>
      <c r="E269" s="8"/>
      <c r="F269" s="6"/>
      <c r="G269" s="7" t="str">
        <f t="shared" si="1"/>
        <v/>
      </c>
      <c r="H269" s="7">
        <f t="array" ref="H269">IFERROR(INDEX(Produtos!I:I,MATCH(C269&amp;D269,Produtos!B:B&amp;Produtos!C:C,0)),"")</f>
        <v>0</v>
      </c>
      <c r="I269" s="7" t="str">
        <f t="shared" si="5"/>
        <v/>
      </c>
      <c r="J269" s="8"/>
      <c r="K269" s="8" t="str">
        <f t="shared" si="3"/>
        <v>Pendente</v>
      </c>
      <c r="L269" s="8"/>
      <c r="M269" s="8" t="str">
        <f t="shared" si="4"/>
        <v/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8"/>
      <c r="B270" s="8"/>
      <c r="C270" s="8"/>
      <c r="D270" s="8"/>
      <c r="E270" s="8"/>
      <c r="F270" s="6"/>
      <c r="G270" s="7" t="str">
        <f t="shared" si="1"/>
        <v/>
      </c>
      <c r="H270" s="7">
        <f t="array" ref="H270">IFERROR(INDEX(Produtos!I:I,MATCH(C270&amp;D270,Produtos!B:B&amp;Produtos!C:C,0)),"")</f>
        <v>0</v>
      </c>
      <c r="I270" s="7" t="str">
        <f t="shared" si="5"/>
        <v/>
      </c>
      <c r="J270" s="8"/>
      <c r="K270" s="8" t="str">
        <f t="shared" si="3"/>
        <v>Pendente</v>
      </c>
      <c r="L270" s="8"/>
      <c r="M270" s="8" t="str">
        <f t="shared" si="4"/>
        <v/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8"/>
      <c r="B271" s="8"/>
      <c r="C271" s="8"/>
      <c r="D271" s="8"/>
      <c r="E271" s="8"/>
      <c r="F271" s="6"/>
      <c r="G271" s="7" t="str">
        <f t="shared" si="1"/>
        <v/>
      </c>
      <c r="H271" s="7">
        <f t="array" ref="H271">IFERROR(INDEX(Produtos!I:I,MATCH(C271&amp;D271,Produtos!B:B&amp;Produtos!C:C,0)),"")</f>
        <v>0</v>
      </c>
      <c r="I271" s="7" t="str">
        <f t="shared" si="5"/>
        <v/>
      </c>
      <c r="J271" s="8"/>
      <c r="K271" s="8" t="str">
        <f t="shared" si="3"/>
        <v>Pendente</v>
      </c>
      <c r="L271" s="8"/>
      <c r="M271" s="8" t="str">
        <f t="shared" si="4"/>
        <v/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8"/>
      <c r="B272" s="8"/>
      <c r="C272" s="8"/>
      <c r="D272" s="8"/>
      <c r="E272" s="8"/>
      <c r="F272" s="6"/>
      <c r="G272" s="7" t="str">
        <f t="shared" si="1"/>
        <v/>
      </c>
      <c r="H272" s="7">
        <f t="array" ref="H272">IFERROR(INDEX(Produtos!I:I,MATCH(C272&amp;D272,Produtos!B:B&amp;Produtos!C:C,0)),"")</f>
        <v>0</v>
      </c>
      <c r="I272" s="7" t="str">
        <f t="shared" si="5"/>
        <v/>
      </c>
      <c r="J272" s="8"/>
      <c r="K272" s="8" t="str">
        <f t="shared" si="3"/>
        <v>Pendente</v>
      </c>
      <c r="L272" s="8"/>
      <c r="M272" s="8" t="str">
        <f t="shared" si="4"/>
        <v/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8"/>
      <c r="B273" s="8"/>
      <c r="C273" s="8"/>
      <c r="D273" s="8"/>
      <c r="E273" s="8"/>
      <c r="F273" s="6"/>
      <c r="G273" s="7" t="str">
        <f t="shared" si="1"/>
        <v/>
      </c>
      <c r="H273" s="7">
        <f t="array" ref="H273">IFERROR(INDEX(Produtos!I:I,MATCH(C273&amp;D273,Produtos!B:B&amp;Produtos!C:C,0)),"")</f>
        <v>0</v>
      </c>
      <c r="I273" s="7" t="str">
        <f t="shared" si="5"/>
        <v/>
      </c>
      <c r="J273" s="8"/>
      <c r="K273" s="8" t="str">
        <f t="shared" si="3"/>
        <v>Pendente</v>
      </c>
      <c r="L273" s="8"/>
      <c r="M273" s="8" t="str">
        <f t="shared" si="4"/>
        <v/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8"/>
      <c r="B274" s="8"/>
      <c r="C274" s="8"/>
      <c r="D274" s="8"/>
      <c r="E274" s="8"/>
      <c r="F274" s="6"/>
      <c r="G274" s="7" t="str">
        <f t="shared" si="1"/>
        <v/>
      </c>
      <c r="H274" s="7">
        <f t="array" ref="H274">IFERROR(INDEX(Produtos!I:I,MATCH(C274&amp;D274,Produtos!B:B&amp;Produtos!C:C,0)),"")</f>
        <v>0</v>
      </c>
      <c r="I274" s="7" t="str">
        <f t="shared" si="5"/>
        <v/>
      </c>
      <c r="J274" s="8"/>
      <c r="K274" s="8" t="str">
        <f t="shared" si="3"/>
        <v>Pendente</v>
      </c>
      <c r="L274" s="8"/>
      <c r="M274" s="8" t="str">
        <f t="shared" si="4"/>
        <v/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8"/>
      <c r="B275" s="8"/>
      <c r="C275" s="8"/>
      <c r="D275" s="8"/>
      <c r="E275" s="8"/>
      <c r="F275" s="6"/>
      <c r="G275" s="7" t="str">
        <f t="shared" si="1"/>
        <v/>
      </c>
      <c r="H275" s="7">
        <f t="array" ref="H275">IFERROR(INDEX(Produtos!I:I,MATCH(C275&amp;D275,Produtos!B:B&amp;Produtos!C:C,0)),"")</f>
        <v>0</v>
      </c>
      <c r="I275" s="7" t="str">
        <f t="shared" si="5"/>
        <v/>
      </c>
      <c r="J275" s="8"/>
      <c r="K275" s="8" t="str">
        <f t="shared" si="3"/>
        <v>Pendente</v>
      </c>
      <c r="L275" s="8"/>
      <c r="M275" s="8" t="str">
        <f t="shared" si="4"/>
        <v/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8"/>
      <c r="B276" s="8"/>
      <c r="C276" s="8"/>
      <c r="D276" s="8"/>
      <c r="E276" s="8"/>
      <c r="F276" s="6"/>
      <c r="G276" s="7" t="str">
        <f t="shared" si="1"/>
        <v/>
      </c>
      <c r="H276" s="7">
        <f t="array" ref="H276">IFERROR(INDEX(Produtos!I:I,MATCH(C276&amp;D276,Produtos!B:B&amp;Produtos!C:C,0)),"")</f>
        <v>0</v>
      </c>
      <c r="I276" s="7" t="str">
        <f t="shared" si="5"/>
        <v/>
      </c>
      <c r="J276" s="8"/>
      <c r="K276" s="8" t="str">
        <f t="shared" si="3"/>
        <v>Pendente</v>
      </c>
      <c r="L276" s="8"/>
      <c r="M276" s="8" t="str">
        <f t="shared" si="4"/>
        <v/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8"/>
      <c r="B277" s="8"/>
      <c r="C277" s="8"/>
      <c r="D277" s="8"/>
      <c r="E277" s="8"/>
      <c r="F277" s="6"/>
      <c r="G277" s="7" t="str">
        <f t="shared" si="1"/>
        <v/>
      </c>
      <c r="H277" s="7">
        <f t="array" ref="H277">IFERROR(INDEX(Produtos!I:I,MATCH(C277&amp;D277,Produtos!B:B&amp;Produtos!C:C,0)),"")</f>
        <v>0</v>
      </c>
      <c r="I277" s="7" t="str">
        <f t="shared" si="5"/>
        <v/>
      </c>
      <c r="J277" s="8"/>
      <c r="K277" s="8" t="str">
        <f t="shared" si="3"/>
        <v>Pendente</v>
      </c>
      <c r="L277" s="8"/>
      <c r="M277" s="8" t="str">
        <f t="shared" si="4"/>
        <v/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8"/>
      <c r="B278" s="8"/>
      <c r="C278" s="8"/>
      <c r="D278" s="8"/>
      <c r="E278" s="8"/>
      <c r="F278" s="6"/>
      <c r="G278" s="7" t="str">
        <f t="shared" si="1"/>
        <v/>
      </c>
      <c r="H278" s="7">
        <f t="array" ref="H278">IFERROR(INDEX(Produtos!I:I,MATCH(C278&amp;D278,Produtos!B:B&amp;Produtos!C:C,0)),"")</f>
        <v>0</v>
      </c>
      <c r="I278" s="7" t="str">
        <f t="shared" si="5"/>
        <v/>
      </c>
      <c r="J278" s="8"/>
      <c r="K278" s="8" t="str">
        <f t="shared" si="3"/>
        <v>Pendente</v>
      </c>
      <c r="L278" s="8"/>
      <c r="M278" s="8" t="str">
        <f t="shared" si="4"/>
        <v/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8"/>
      <c r="B279" s="8"/>
      <c r="C279" s="8"/>
      <c r="D279" s="8"/>
      <c r="E279" s="8"/>
      <c r="F279" s="6"/>
      <c r="G279" s="7" t="str">
        <f t="shared" si="1"/>
        <v/>
      </c>
      <c r="H279" s="7">
        <f t="array" ref="H279">IFERROR(INDEX(Produtos!I:I,MATCH(C279&amp;D279,Produtos!B:B&amp;Produtos!C:C,0)),"")</f>
        <v>0</v>
      </c>
      <c r="I279" s="7" t="str">
        <f t="shared" si="5"/>
        <v/>
      </c>
      <c r="J279" s="8"/>
      <c r="K279" s="8" t="str">
        <f t="shared" si="3"/>
        <v>Pendente</v>
      </c>
      <c r="L279" s="8"/>
      <c r="M279" s="8" t="str">
        <f t="shared" si="4"/>
        <v/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8"/>
      <c r="B280" s="8"/>
      <c r="C280" s="8"/>
      <c r="D280" s="8"/>
      <c r="E280" s="8"/>
      <c r="F280" s="6"/>
      <c r="G280" s="7" t="str">
        <f t="shared" si="1"/>
        <v/>
      </c>
      <c r="H280" s="7">
        <f t="array" ref="H280">IFERROR(INDEX(Produtos!I:I,MATCH(C280&amp;D280,Produtos!B:B&amp;Produtos!C:C,0)),"")</f>
        <v>0</v>
      </c>
      <c r="I280" s="7" t="str">
        <f t="shared" si="5"/>
        <v/>
      </c>
      <c r="J280" s="8"/>
      <c r="K280" s="8" t="str">
        <f t="shared" si="3"/>
        <v>Pendente</v>
      </c>
      <c r="L280" s="8"/>
      <c r="M280" s="8" t="str">
        <f t="shared" si="4"/>
        <v/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8"/>
      <c r="B281" s="8"/>
      <c r="C281" s="8"/>
      <c r="D281" s="8"/>
      <c r="E281" s="8"/>
      <c r="F281" s="6"/>
      <c r="G281" s="7" t="str">
        <f t="shared" si="1"/>
        <v/>
      </c>
      <c r="H281" s="7">
        <f t="array" ref="H281">IFERROR(INDEX(Produtos!I:I,MATCH(C281&amp;D281,Produtos!B:B&amp;Produtos!C:C,0)),"")</f>
        <v>0</v>
      </c>
      <c r="I281" s="7" t="str">
        <f t="shared" si="5"/>
        <v/>
      </c>
      <c r="J281" s="8"/>
      <c r="K281" s="8" t="str">
        <f t="shared" si="3"/>
        <v>Pendente</v>
      </c>
      <c r="L281" s="8"/>
      <c r="M281" s="8" t="str">
        <f t="shared" si="4"/>
        <v/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8"/>
      <c r="B282" s="8"/>
      <c r="C282" s="8"/>
      <c r="D282" s="8"/>
      <c r="E282" s="8"/>
      <c r="F282" s="6"/>
      <c r="G282" s="7" t="str">
        <f t="shared" si="1"/>
        <v/>
      </c>
      <c r="H282" s="7">
        <f t="array" ref="H282">IFERROR(INDEX(Produtos!I:I,MATCH(C282&amp;D282,Produtos!B:B&amp;Produtos!C:C,0)),"")</f>
        <v>0</v>
      </c>
      <c r="I282" s="7" t="str">
        <f t="shared" si="5"/>
        <v/>
      </c>
      <c r="J282" s="8"/>
      <c r="K282" s="8" t="str">
        <f t="shared" si="3"/>
        <v>Pendente</v>
      </c>
      <c r="L282" s="8"/>
      <c r="M282" s="8" t="str">
        <f t="shared" si="4"/>
        <v/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8"/>
      <c r="B283" s="8"/>
      <c r="C283" s="8"/>
      <c r="D283" s="8"/>
      <c r="E283" s="8"/>
      <c r="F283" s="6"/>
      <c r="G283" s="7" t="str">
        <f t="shared" si="1"/>
        <v/>
      </c>
      <c r="H283" s="7">
        <f t="array" ref="H283">IFERROR(INDEX(Produtos!I:I,MATCH(C283&amp;D283,Produtos!B:B&amp;Produtos!C:C,0)),"")</f>
        <v>0</v>
      </c>
      <c r="I283" s="7" t="str">
        <f t="shared" si="5"/>
        <v/>
      </c>
      <c r="J283" s="8"/>
      <c r="K283" s="8" t="str">
        <f t="shared" si="3"/>
        <v>Pendente</v>
      </c>
      <c r="L283" s="8"/>
      <c r="M283" s="8" t="str">
        <f t="shared" si="4"/>
        <v/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8"/>
      <c r="B284" s="8"/>
      <c r="C284" s="8"/>
      <c r="D284" s="8"/>
      <c r="E284" s="8"/>
      <c r="F284" s="6"/>
      <c r="G284" s="7" t="str">
        <f t="shared" si="1"/>
        <v/>
      </c>
      <c r="H284" s="7">
        <f t="array" ref="H284">IFERROR(INDEX(Produtos!I:I,MATCH(C284&amp;D284,Produtos!B:B&amp;Produtos!C:C,0)),"")</f>
        <v>0</v>
      </c>
      <c r="I284" s="7" t="str">
        <f t="shared" si="5"/>
        <v/>
      </c>
      <c r="J284" s="8"/>
      <c r="K284" s="8" t="str">
        <f t="shared" si="3"/>
        <v>Pendente</v>
      </c>
      <c r="L284" s="8"/>
      <c r="M284" s="8" t="str">
        <f t="shared" si="4"/>
        <v/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8"/>
      <c r="B285" s="8"/>
      <c r="C285" s="8"/>
      <c r="D285" s="8"/>
      <c r="E285" s="8"/>
      <c r="F285" s="6"/>
      <c r="G285" s="7" t="str">
        <f t="shared" si="1"/>
        <v/>
      </c>
      <c r="H285" s="7">
        <f t="array" ref="H285">IFERROR(INDEX(Produtos!I:I,MATCH(C285&amp;D285,Produtos!B:B&amp;Produtos!C:C,0)),"")</f>
        <v>0</v>
      </c>
      <c r="I285" s="7" t="str">
        <f t="shared" si="5"/>
        <v/>
      </c>
      <c r="J285" s="8"/>
      <c r="K285" s="8" t="str">
        <f t="shared" si="3"/>
        <v>Pendente</v>
      </c>
      <c r="L285" s="8"/>
      <c r="M285" s="8" t="str">
        <f t="shared" si="4"/>
        <v/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8"/>
      <c r="B286" s="8"/>
      <c r="C286" s="8"/>
      <c r="D286" s="8"/>
      <c r="E286" s="8"/>
      <c r="F286" s="6"/>
      <c r="G286" s="7" t="str">
        <f t="shared" si="1"/>
        <v/>
      </c>
      <c r="H286" s="7">
        <f t="array" ref="H286">IFERROR(INDEX(Produtos!I:I,MATCH(C286&amp;D286,Produtos!B:B&amp;Produtos!C:C,0)),"")</f>
        <v>0</v>
      </c>
      <c r="I286" s="7" t="str">
        <f t="shared" si="5"/>
        <v/>
      </c>
      <c r="J286" s="8"/>
      <c r="K286" s="8" t="str">
        <f t="shared" si="3"/>
        <v>Pendente</v>
      </c>
      <c r="L286" s="8"/>
      <c r="M286" s="8" t="str">
        <f t="shared" si="4"/>
        <v/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8"/>
      <c r="B287" s="8"/>
      <c r="C287" s="8"/>
      <c r="D287" s="8"/>
      <c r="E287" s="8"/>
      <c r="F287" s="6"/>
      <c r="G287" s="7" t="str">
        <f t="shared" si="1"/>
        <v/>
      </c>
      <c r="H287" s="7">
        <f t="array" ref="H287">IFERROR(INDEX(Produtos!I:I,MATCH(C287&amp;D287,Produtos!B:B&amp;Produtos!C:C,0)),"")</f>
        <v>0</v>
      </c>
      <c r="I287" s="7" t="str">
        <f t="shared" si="5"/>
        <v/>
      </c>
      <c r="J287" s="8"/>
      <c r="K287" s="8" t="str">
        <f t="shared" si="3"/>
        <v>Pendente</v>
      </c>
      <c r="L287" s="8"/>
      <c r="M287" s="8" t="str">
        <f t="shared" si="4"/>
        <v/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8"/>
      <c r="B288" s="8"/>
      <c r="C288" s="8"/>
      <c r="D288" s="8"/>
      <c r="E288" s="8"/>
      <c r="F288" s="6"/>
      <c r="G288" s="7" t="str">
        <f t="shared" si="1"/>
        <v/>
      </c>
      <c r="H288" s="7">
        <f t="array" ref="H288">IFERROR(INDEX(Produtos!I:I,MATCH(C288&amp;D288,Produtos!B:B&amp;Produtos!C:C,0)),"")</f>
        <v>0</v>
      </c>
      <c r="I288" s="7" t="str">
        <f t="shared" si="5"/>
        <v/>
      </c>
      <c r="J288" s="8"/>
      <c r="K288" s="8" t="str">
        <f t="shared" si="3"/>
        <v>Pendente</v>
      </c>
      <c r="L288" s="8"/>
      <c r="M288" s="8" t="str">
        <f t="shared" si="4"/>
        <v/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8"/>
      <c r="B289" s="8"/>
      <c r="C289" s="8"/>
      <c r="D289" s="8"/>
      <c r="E289" s="8"/>
      <c r="F289" s="6"/>
      <c r="G289" s="7" t="str">
        <f t="shared" si="1"/>
        <v/>
      </c>
      <c r="H289" s="7">
        <f t="array" ref="H289">IFERROR(INDEX(Produtos!I:I,MATCH(C289&amp;D289,Produtos!B:B&amp;Produtos!C:C,0)),"")</f>
        <v>0</v>
      </c>
      <c r="I289" s="7" t="str">
        <f t="shared" si="5"/>
        <v/>
      </c>
      <c r="J289" s="8"/>
      <c r="K289" s="8" t="str">
        <f t="shared" si="3"/>
        <v>Pendente</v>
      </c>
      <c r="L289" s="8"/>
      <c r="M289" s="8" t="str">
        <f t="shared" si="4"/>
        <v/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8"/>
      <c r="B290" s="8"/>
      <c r="C290" s="8"/>
      <c r="D290" s="8"/>
      <c r="E290" s="8"/>
      <c r="F290" s="6"/>
      <c r="G290" s="7" t="str">
        <f t="shared" si="1"/>
        <v/>
      </c>
      <c r="H290" s="7">
        <f t="array" ref="H290">IFERROR(INDEX(Produtos!I:I,MATCH(C290&amp;D290,Produtos!B:B&amp;Produtos!C:C,0)),"")</f>
        <v>0</v>
      </c>
      <c r="I290" s="7" t="str">
        <f t="shared" si="5"/>
        <v/>
      </c>
      <c r="J290" s="8"/>
      <c r="K290" s="8" t="str">
        <f t="shared" si="3"/>
        <v>Pendente</v>
      </c>
      <c r="L290" s="8"/>
      <c r="M290" s="8" t="str">
        <f t="shared" si="4"/>
        <v/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8"/>
      <c r="B291" s="8"/>
      <c r="C291" s="8"/>
      <c r="D291" s="8"/>
      <c r="E291" s="8"/>
      <c r="F291" s="6"/>
      <c r="G291" s="7" t="str">
        <f t="shared" si="1"/>
        <v/>
      </c>
      <c r="H291" s="7">
        <f t="array" ref="H291">IFERROR(INDEX(Produtos!I:I,MATCH(C291&amp;D291,Produtos!B:B&amp;Produtos!C:C,0)),"")</f>
        <v>0</v>
      </c>
      <c r="I291" s="7" t="str">
        <f t="shared" si="5"/>
        <v/>
      </c>
      <c r="J291" s="8"/>
      <c r="K291" s="8" t="str">
        <f t="shared" si="3"/>
        <v>Pendente</v>
      </c>
      <c r="L291" s="8"/>
      <c r="M291" s="8" t="str">
        <f t="shared" si="4"/>
        <v/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8"/>
      <c r="B292" s="8"/>
      <c r="C292" s="8"/>
      <c r="D292" s="8"/>
      <c r="E292" s="8"/>
      <c r="F292" s="6"/>
      <c r="G292" s="7" t="str">
        <f t="shared" si="1"/>
        <v/>
      </c>
      <c r="H292" s="7">
        <f t="array" ref="H292">IFERROR(INDEX(Produtos!I:I,MATCH(C292&amp;D292,Produtos!B:B&amp;Produtos!C:C,0)),"")</f>
        <v>0</v>
      </c>
      <c r="I292" s="7" t="str">
        <f t="shared" si="5"/>
        <v/>
      </c>
      <c r="J292" s="8"/>
      <c r="K292" s="8" t="str">
        <f t="shared" si="3"/>
        <v>Pendente</v>
      </c>
      <c r="L292" s="8"/>
      <c r="M292" s="8" t="str">
        <f t="shared" si="4"/>
        <v/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8"/>
      <c r="B293" s="8"/>
      <c r="C293" s="8"/>
      <c r="D293" s="8"/>
      <c r="E293" s="8"/>
      <c r="F293" s="6"/>
      <c r="G293" s="7" t="str">
        <f t="shared" si="1"/>
        <v/>
      </c>
      <c r="H293" s="7">
        <f t="array" ref="H293">IFERROR(INDEX(Produtos!I:I,MATCH(C293&amp;D293,Produtos!B:B&amp;Produtos!C:C,0)),"")</f>
        <v>0</v>
      </c>
      <c r="I293" s="7" t="str">
        <f t="shared" si="5"/>
        <v/>
      </c>
      <c r="J293" s="8"/>
      <c r="K293" s="8" t="str">
        <f t="shared" si="3"/>
        <v>Pendente</v>
      </c>
      <c r="L293" s="8"/>
      <c r="M293" s="8" t="str">
        <f t="shared" si="4"/>
        <v/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8"/>
      <c r="B294" s="8"/>
      <c r="C294" s="8"/>
      <c r="D294" s="8"/>
      <c r="E294" s="8"/>
      <c r="F294" s="6"/>
      <c r="G294" s="7" t="str">
        <f t="shared" si="1"/>
        <v/>
      </c>
      <c r="H294" s="7">
        <f t="array" ref="H294">IFERROR(INDEX(Produtos!I:I,MATCH(C294&amp;D294,Produtos!B:B&amp;Produtos!C:C,0)),"")</f>
        <v>0</v>
      </c>
      <c r="I294" s="7" t="str">
        <f t="shared" si="5"/>
        <v/>
      </c>
      <c r="J294" s="8"/>
      <c r="K294" s="8" t="str">
        <f t="shared" si="3"/>
        <v>Pendente</v>
      </c>
      <c r="L294" s="8"/>
      <c r="M294" s="8" t="str">
        <f t="shared" si="4"/>
        <v/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8"/>
      <c r="B295" s="8"/>
      <c r="C295" s="8"/>
      <c r="D295" s="8"/>
      <c r="E295" s="8"/>
      <c r="F295" s="6"/>
      <c r="G295" s="7" t="str">
        <f t="shared" si="1"/>
        <v/>
      </c>
      <c r="H295" s="7">
        <f t="array" ref="H295">IFERROR(INDEX(Produtos!I:I,MATCH(C295&amp;D295,Produtos!B:B&amp;Produtos!C:C,0)),"")</f>
        <v>0</v>
      </c>
      <c r="I295" s="7" t="str">
        <f t="shared" si="5"/>
        <v/>
      </c>
      <c r="J295" s="8"/>
      <c r="K295" s="8" t="str">
        <f t="shared" si="3"/>
        <v>Pendente</v>
      </c>
      <c r="L295" s="8"/>
      <c r="M295" s="8" t="str">
        <f t="shared" si="4"/>
        <v/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8"/>
      <c r="B296" s="8"/>
      <c r="C296" s="8"/>
      <c r="D296" s="8"/>
      <c r="E296" s="8"/>
      <c r="F296" s="6"/>
      <c r="G296" s="7" t="str">
        <f t="shared" si="1"/>
        <v/>
      </c>
      <c r="H296" s="7">
        <f t="array" ref="H296">IFERROR(INDEX(Produtos!I:I,MATCH(C296&amp;D296,Produtos!B:B&amp;Produtos!C:C,0)),"")</f>
        <v>0</v>
      </c>
      <c r="I296" s="7" t="str">
        <f t="shared" si="5"/>
        <v/>
      </c>
      <c r="J296" s="8"/>
      <c r="K296" s="8" t="str">
        <f t="shared" si="3"/>
        <v>Pendente</v>
      </c>
      <c r="L296" s="8"/>
      <c r="M296" s="8" t="str">
        <f t="shared" si="4"/>
        <v/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8"/>
      <c r="B297" s="8"/>
      <c r="C297" s="8"/>
      <c r="D297" s="8"/>
      <c r="E297" s="8"/>
      <c r="F297" s="6"/>
      <c r="G297" s="7" t="str">
        <f t="shared" si="1"/>
        <v/>
      </c>
      <c r="H297" s="7">
        <f t="array" ref="H297">IFERROR(INDEX(Produtos!I:I,MATCH(C297&amp;D297,Produtos!B:B&amp;Produtos!C:C,0)),"")</f>
        <v>0</v>
      </c>
      <c r="I297" s="7" t="str">
        <f t="shared" si="5"/>
        <v/>
      </c>
      <c r="J297" s="8"/>
      <c r="K297" s="8" t="str">
        <f t="shared" si="3"/>
        <v>Pendente</v>
      </c>
      <c r="L297" s="8"/>
      <c r="M297" s="8" t="str">
        <f t="shared" si="4"/>
        <v/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8"/>
      <c r="B298" s="8"/>
      <c r="C298" s="8"/>
      <c r="D298" s="8"/>
      <c r="E298" s="8"/>
      <c r="F298" s="6"/>
      <c r="G298" s="7" t="str">
        <f t="shared" si="1"/>
        <v/>
      </c>
      <c r="H298" s="7">
        <f t="array" ref="H298">IFERROR(INDEX(Produtos!I:I,MATCH(C298&amp;D298,Produtos!B:B&amp;Produtos!C:C,0)),"")</f>
        <v>0</v>
      </c>
      <c r="I298" s="7" t="str">
        <f t="shared" si="5"/>
        <v/>
      </c>
      <c r="J298" s="8"/>
      <c r="K298" s="8" t="str">
        <f t="shared" si="3"/>
        <v>Pendente</v>
      </c>
      <c r="L298" s="8"/>
      <c r="M298" s="8" t="str">
        <f t="shared" si="4"/>
        <v/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8"/>
      <c r="B299" s="8"/>
      <c r="C299" s="8"/>
      <c r="D299" s="8"/>
      <c r="E299" s="8"/>
      <c r="F299" s="6"/>
      <c r="G299" s="7" t="str">
        <f t="shared" si="1"/>
        <v/>
      </c>
      <c r="H299" s="7">
        <f t="array" ref="H299">IFERROR(INDEX(Produtos!I:I,MATCH(C299&amp;D299,Produtos!B:B&amp;Produtos!C:C,0)),"")</f>
        <v>0</v>
      </c>
      <c r="I299" s="7" t="str">
        <f t="shared" si="5"/>
        <v/>
      </c>
      <c r="J299" s="8"/>
      <c r="K299" s="8" t="str">
        <f t="shared" si="3"/>
        <v>Pendente</v>
      </c>
      <c r="L299" s="8"/>
      <c r="M299" s="8" t="str">
        <f t="shared" si="4"/>
        <v/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8"/>
      <c r="B300" s="8"/>
      <c r="C300" s="8"/>
      <c r="D300" s="8"/>
      <c r="E300" s="8"/>
      <c r="F300" s="6"/>
      <c r="G300" s="7" t="str">
        <f t="shared" si="1"/>
        <v/>
      </c>
      <c r="H300" s="7">
        <f t="array" ref="H300">IFERROR(INDEX(Produtos!I:I,MATCH(C300&amp;D300,Produtos!B:B&amp;Produtos!C:C,0)),"")</f>
        <v>0</v>
      </c>
      <c r="I300" s="7" t="str">
        <f t="shared" si="5"/>
        <v/>
      </c>
      <c r="J300" s="8"/>
      <c r="K300" s="8" t="str">
        <f t="shared" si="3"/>
        <v>Pendente</v>
      </c>
      <c r="L300" s="8"/>
      <c r="M300" s="8" t="str">
        <f t="shared" si="4"/>
        <v/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8"/>
      <c r="B301" s="8"/>
      <c r="C301" s="8"/>
      <c r="D301" s="8"/>
      <c r="E301" s="8"/>
      <c r="F301" s="6"/>
      <c r="G301" s="7" t="str">
        <f t="shared" si="1"/>
        <v/>
      </c>
      <c r="H301" s="7">
        <f t="array" ref="H301">IFERROR(INDEX(Produtos!I:I,MATCH(C301&amp;D301,Produtos!B:B&amp;Produtos!C:C,0)),"")</f>
        <v>0</v>
      </c>
      <c r="I301" s="7" t="str">
        <f t="shared" si="5"/>
        <v/>
      </c>
      <c r="J301" s="8"/>
      <c r="K301" s="8" t="str">
        <f t="shared" si="3"/>
        <v>Pendente</v>
      </c>
      <c r="L301" s="8"/>
      <c r="M301" s="8" t="str">
        <f t="shared" si="4"/>
        <v/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8"/>
      <c r="B302" s="8"/>
      <c r="C302" s="8"/>
      <c r="D302" s="8"/>
      <c r="E302" s="8"/>
      <c r="F302" s="6"/>
      <c r="G302" s="7" t="str">
        <f t="shared" si="1"/>
        <v/>
      </c>
      <c r="H302" s="7">
        <f t="array" ref="H302">IFERROR(INDEX(Produtos!I:I,MATCH(C302&amp;D302,Produtos!B:B&amp;Produtos!C:C,0)),"")</f>
        <v>0</v>
      </c>
      <c r="I302" s="7" t="str">
        <f t="shared" si="5"/>
        <v/>
      </c>
      <c r="J302" s="8"/>
      <c r="K302" s="8" t="str">
        <f t="shared" si="3"/>
        <v>Pendente</v>
      </c>
      <c r="L302" s="8"/>
      <c r="M302" s="8" t="str">
        <f t="shared" si="4"/>
        <v/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8"/>
      <c r="B303" s="8"/>
      <c r="C303" s="8"/>
      <c r="D303" s="8"/>
      <c r="E303" s="8"/>
      <c r="F303" s="6"/>
      <c r="G303" s="7" t="str">
        <f t="shared" si="1"/>
        <v/>
      </c>
      <c r="H303" s="7">
        <f t="array" ref="H303">IFERROR(INDEX(Produtos!I:I,MATCH(C303&amp;D303,Produtos!B:B&amp;Produtos!C:C,0)),"")</f>
        <v>0</v>
      </c>
      <c r="I303" s="7" t="str">
        <f t="shared" si="5"/>
        <v/>
      </c>
      <c r="J303" s="8"/>
      <c r="K303" s="8" t="str">
        <f t="shared" si="3"/>
        <v>Pendente</v>
      </c>
      <c r="L303" s="8"/>
      <c r="M303" s="8" t="str">
        <f t="shared" si="4"/>
        <v/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8"/>
      <c r="B304" s="8"/>
      <c r="C304" s="8"/>
      <c r="D304" s="8"/>
      <c r="E304" s="8"/>
      <c r="F304" s="6"/>
      <c r="G304" s="7" t="str">
        <f t="shared" si="1"/>
        <v/>
      </c>
      <c r="H304" s="7">
        <f t="array" ref="H304">IFERROR(INDEX(Produtos!I:I,MATCH(C304&amp;D304,Produtos!B:B&amp;Produtos!C:C,0)),"")</f>
        <v>0</v>
      </c>
      <c r="I304" s="7" t="str">
        <f t="shared" si="5"/>
        <v/>
      </c>
      <c r="J304" s="8"/>
      <c r="K304" s="8" t="str">
        <f t="shared" si="3"/>
        <v>Pendente</v>
      </c>
      <c r="L304" s="8"/>
      <c r="M304" s="8" t="str">
        <f t="shared" si="4"/>
        <v/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8"/>
      <c r="B305" s="8"/>
      <c r="C305" s="8"/>
      <c r="D305" s="8"/>
      <c r="E305" s="8"/>
      <c r="F305" s="6"/>
      <c r="G305" s="7" t="str">
        <f t="shared" si="1"/>
        <v/>
      </c>
      <c r="H305" s="7">
        <f t="array" ref="H305">IFERROR(INDEX(Produtos!I:I,MATCH(C305&amp;D305,Produtos!B:B&amp;Produtos!C:C,0)),"")</f>
        <v>0</v>
      </c>
      <c r="I305" s="7" t="str">
        <f t="shared" si="5"/>
        <v/>
      </c>
      <c r="J305" s="8"/>
      <c r="K305" s="8" t="str">
        <f t="shared" si="3"/>
        <v>Pendente</v>
      </c>
      <c r="L305" s="8"/>
      <c r="M305" s="8" t="str">
        <f t="shared" si="4"/>
        <v/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8"/>
      <c r="B306" s="8"/>
      <c r="C306" s="8"/>
      <c r="D306" s="8"/>
      <c r="E306" s="8"/>
      <c r="F306" s="6"/>
      <c r="G306" s="7" t="str">
        <f t="shared" si="1"/>
        <v/>
      </c>
      <c r="H306" s="7">
        <f t="array" ref="H306">IFERROR(INDEX(Produtos!I:I,MATCH(C306&amp;D306,Produtos!B:B&amp;Produtos!C:C,0)),"")</f>
        <v>0</v>
      </c>
      <c r="I306" s="7" t="str">
        <f t="shared" si="5"/>
        <v/>
      </c>
      <c r="J306" s="8"/>
      <c r="K306" s="8" t="str">
        <f t="shared" si="3"/>
        <v>Pendente</v>
      </c>
      <c r="L306" s="8"/>
      <c r="M306" s="8" t="str">
        <f t="shared" si="4"/>
        <v/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8"/>
      <c r="B307" s="8"/>
      <c r="C307" s="8"/>
      <c r="D307" s="8"/>
      <c r="E307" s="8"/>
      <c r="F307" s="6"/>
      <c r="G307" s="7" t="str">
        <f t="shared" si="1"/>
        <v/>
      </c>
      <c r="H307" s="7">
        <f t="array" ref="H307">IFERROR(INDEX(Produtos!I:I,MATCH(C307&amp;D307,Produtos!B:B&amp;Produtos!C:C,0)),"")</f>
        <v>0</v>
      </c>
      <c r="I307" s="7" t="str">
        <f t="shared" si="5"/>
        <v/>
      </c>
      <c r="J307" s="8"/>
      <c r="K307" s="8" t="str">
        <f t="shared" si="3"/>
        <v>Pendente</v>
      </c>
      <c r="L307" s="8"/>
      <c r="M307" s="8" t="str">
        <f t="shared" si="4"/>
        <v/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8"/>
      <c r="B308" s="8"/>
      <c r="C308" s="8"/>
      <c r="D308" s="8"/>
      <c r="E308" s="8"/>
      <c r="F308" s="6"/>
      <c r="G308" s="7" t="str">
        <f t="shared" si="1"/>
        <v/>
      </c>
      <c r="H308" s="7">
        <f t="array" ref="H308">IFERROR(INDEX(Produtos!I:I,MATCH(C308&amp;D308,Produtos!B:B&amp;Produtos!C:C,0)),"")</f>
        <v>0</v>
      </c>
      <c r="I308" s="7" t="str">
        <f t="shared" si="5"/>
        <v/>
      </c>
      <c r="J308" s="8"/>
      <c r="K308" s="8" t="str">
        <f t="shared" si="3"/>
        <v>Pendente</v>
      </c>
      <c r="L308" s="8"/>
      <c r="M308" s="8" t="str">
        <f t="shared" si="4"/>
        <v/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8"/>
      <c r="B309" s="8"/>
      <c r="C309" s="8"/>
      <c r="D309" s="8"/>
      <c r="E309" s="8"/>
      <c r="F309" s="6"/>
      <c r="G309" s="7" t="str">
        <f t="shared" si="1"/>
        <v/>
      </c>
      <c r="H309" s="7">
        <f t="array" ref="H309">IFERROR(INDEX(Produtos!I:I,MATCH(C309&amp;D309,Produtos!B:B&amp;Produtos!C:C,0)),"")</f>
        <v>0</v>
      </c>
      <c r="I309" s="7" t="str">
        <f t="shared" si="5"/>
        <v/>
      </c>
      <c r="J309" s="8"/>
      <c r="K309" s="8" t="str">
        <f t="shared" si="3"/>
        <v>Pendente</v>
      </c>
      <c r="L309" s="8"/>
      <c r="M309" s="8" t="str">
        <f t="shared" si="4"/>
        <v/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8"/>
      <c r="B310" s="8"/>
      <c r="C310" s="8"/>
      <c r="D310" s="8"/>
      <c r="E310" s="8"/>
      <c r="F310" s="6"/>
      <c r="G310" s="7" t="str">
        <f t="shared" si="1"/>
        <v/>
      </c>
      <c r="H310" s="7">
        <f t="array" ref="H310">IFERROR(INDEX(Produtos!I:I,MATCH(C310&amp;D310,Produtos!B:B&amp;Produtos!C:C,0)),"")</f>
        <v>0</v>
      </c>
      <c r="I310" s="7" t="str">
        <f t="shared" si="5"/>
        <v/>
      </c>
      <c r="J310" s="8"/>
      <c r="K310" s="8" t="str">
        <f t="shared" si="3"/>
        <v>Pendente</v>
      </c>
      <c r="L310" s="8"/>
      <c r="M310" s="8" t="str">
        <f t="shared" si="4"/>
        <v/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8"/>
      <c r="B311" s="8"/>
      <c r="C311" s="8"/>
      <c r="D311" s="8"/>
      <c r="E311" s="8"/>
      <c r="F311" s="6"/>
      <c r="G311" s="7" t="str">
        <f t="shared" si="1"/>
        <v/>
      </c>
      <c r="H311" s="7">
        <f t="array" ref="H311">IFERROR(INDEX(Produtos!I:I,MATCH(C311&amp;D311,Produtos!B:B&amp;Produtos!C:C,0)),"")</f>
        <v>0</v>
      </c>
      <c r="I311" s="7" t="str">
        <f t="shared" si="5"/>
        <v/>
      </c>
      <c r="J311" s="8"/>
      <c r="K311" s="8" t="str">
        <f t="shared" si="3"/>
        <v>Pendente</v>
      </c>
      <c r="L311" s="8"/>
      <c r="M311" s="8" t="str">
        <f t="shared" si="4"/>
        <v/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8"/>
      <c r="B312" s="8"/>
      <c r="C312" s="8"/>
      <c r="D312" s="8"/>
      <c r="E312" s="8"/>
      <c r="F312" s="6"/>
      <c r="G312" s="7" t="str">
        <f t="shared" si="1"/>
        <v/>
      </c>
      <c r="H312" s="7">
        <f t="array" ref="H312">IFERROR(INDEX(Produtos!I:I,MATCH(C312&amp;D312,Produtos!B:B&amp;Produtos!C:C,0)),"")</f>
        <v>0</v>
      </c>
      <c r="I312" s="7" t="str">
        <f t="shared" si="5"/>
        <v/>
      </c>
      <c r="J312" s="8"/>
      <c r="K312" s="8" t="str">
        <f t="shared" si="3"/>
        <v>Pendente</v>
      </c>
      <c r="L312" s="8"/>
      <c r="M312" s="8" t="str">
        <f t="shared" si="4"/>
        <v/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8"/>
      <c r="B313" s="8"/>
      <c r="C313" s="8"/>
      <c r="D313" s="8"/>
      <c r="E313" s="8"/>
      <c r="F313" s="6"/>
      <c r="G313" s="7" t="str">
        <f t="shared" si="1"/>
        <v/>
      </c>
      <c r="H313" s="7">
        <f t="array" ref="H313">IFERROR(INDEX(Produtos!I:I,MATCH(C313&amp;D313,Produtos!B:B&amp;Produtos!C:C,0)),"")</f>
        <v>0</v>
      </c>
      <c r="I313" s="7" t="str">
        <f t="shared" si="5"/>
        <v/>
      </c>
      <c r="J313" s="8"/>
      <c r="K313" s="8" t="str">
        <f t="shared" si="3"/>
        <v>Pendente</v>
      </c>
      <c r="L313" s="8"/>
      <c r="M313" s="8" t="str">
        <f t="shared" si="4"/>
        <v/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8"/>
      <c r="B314" s="8"/>
      <c r="C314" s="8"/>
      <c r="D314" s="8"/>
      <c r="E314" s="8"/>
      <c r="F314" s="6"/>
      <c r="G314" s="7" t="str">
        <f t="shared" si="1"/>
        <v/>
      </c>
      <c r="H314" s="7">
        <f t="array" ref="H314">IFERROR(INDEX(Produtos!I:I,MATCH(C314&amp;D314,Produtos!B:B&amp;Produtos!C:C,0)),"")</f>
        <v>0</v>
      </c>
      <c r="I314" s="7" t="str">
        <f t="shared" si="5"/>
        <v/>
      </c>
      <c r="J314" s="8"/>
      <c r="K314" s="8" t="str">
        <f t="shared" si="3"/>
        <v>Pendente</v>
      </c>
      <c r="L314" s="8"/>
      <c r="M314" s="8" t="str">
        <f t="shared" si="4"/>
        <v/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8"/>
      <c r="B315" s="8"/>
      <c r="C315" s="8"/>
      <c r="D315" s="8"/>
      <c r="E315" s="8"/>
      <c r="F315" s="6"/>
      <c r="G315" s="7" t="str">
        <f t="shared" si="1"/>
        <v/>
      </c>
      <c r="H315" s="7">
        <f t="array" ref="H315">IFERROR(INDEX(Produtos!I:I,MATCH(C315&amp;D315,Produtos!B:B&amp;Produtos!C:C,0)),"")</f>
        <v>0</v>
      </c>
      <c r="I315" s="7" t="str">
        <f t="shared" si="5"/>
        <v/>
      </c>
      <c r="J315" s="8"/>
      <c r="K315" s="8" t="str">
        <f t="shared" si="3"/>
        <v>Pendente</v>
      </c>
      <c r="L315" s="8"/>
      <c r="M315" s="8" t="str">
        <f t="shared" si="4"/>
        <v/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8"/>
      <c r="B316" s="8"/>
      <c r="C316" s="8"/>
      <c r="D316" s="8"/>
      <c r="E316" s="8"/>
      <c r="F316" s="6"/>
      <c r="G316" s="7" t="str">
        <f t="shared" si="1"/>
        <v/>
      </c>
      <c r="H316" s="7">
        <f t="array" ref="H316">IFERROR(INDEX(Produtos!I:I,MATCH(C316&amp;D316,Produtos!B:B&amp;Produtos!C:C,0)),"")</f>
        <v>0</v>
      </c>
      <c r="I316" s="7" t="str">
        <f t="shared" si="5"/>
        <v/>
      </c>
      <c r="J316" s="8"/>
      <c r="K316" s="8" t="str">
        <f t="shared" si="3"/>
        <v>Pendente</v>
      </c>
      <c r="L316" s="8"/>
      <c r="M316" s="8" t="str">
        <f t="shared" si="4"/>
        <v/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8"/>
      <c r="B317" s="8"/>
      <c r="C317" s="8"/>
      <c r="D317" s="8"/>
      <c r="E317" s="8"/>
      <c r="F317" s="6"/>
      <c r="G317" s="7" t="str">
        <f t="shared" si="1"/>
        <v/>
      </c>
      <c r="H317" s="7">
        <f t="array" ref="H317">IFERROR(INDEX(Produtos!I:I,MATCH(C317&amp;D317,Produtos!B:B&amp;Produtos!C:C,0)),"")</f>
        <v>0</v>
      </c>
      <c r="I317" s="7" t="str">
        <f t="shared" si="5"/>
        <v/>
      </c>
      <c r="J317" s="8"/>
      <c r="K317" s="8" t="str">
        <f t="shared" si="3"/>
        <v>Pendente</v>
      </c>
      <c r="L317" s="8"/>
      <c r="M317" s="8" t="str">
        <f t="shared" si="4"/>
        <v/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8"/>
      <c r="B318" s="8"/>
      <c r="C318" s="8"/>
      <c r="D318" s="8"/>
      <c r="E318" s="8"/>
      <c r="F318" s="6"/>
      <c r="G318" s="7" t="str">
        <f t="shared" si="1"/>
        <v/>
      </c>
      <c r="H318" s="7">
        <f t="array" ref="H318">IFERROR(INDEX(Produtos!I:I,MATCH(C318&amp;D318,Produtos!B:B&amp;Produtos!C:C,0)),"")</f>
        <v>0</v>
      </c>
      <c r="I318" s="7" t="str">
        <f t="shared" si="5"/>
        <v/>
      </c>
      <c r="J318" s="8"/>
      <c r="K318" s="8" t="str">
        <f t="shared" si="3"/>
        <v>Pendente</v>
      </c>
      <c r="L318" s="8"/>
      <c r="M318" s="8" t="str">
        <f t="shared" si="4"/>
        <v/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8"/>
      <c r="B319" s="8"/>
      <c r="C319" s="8"/>
      <c r="D319" s="8"/>
      <c r="E319" s="8"/>
      <c r="F319" s="6"/>
      <c r="G319" s="7" t="str">
        <f t="shared" si="1"/>
        <v/>
      </c>
      <c r="H319" s="7">
        <f t="array" ref="H319">IFERROR(INDEX(Produtos!I:I,MATCH(C319&amp;D319,Produtos!B:B&amp;Produtos!C:C,0)),"")</f>
        <v>0</v>
      </c>
      <c r="I319" s="7" t="str">
        <f t="shared" si="5"/>
        <v/>
      </c>
      <c r="J319" s="8"/>
      <c r="K319" s="8" t="str">
        <f t="shared" si="3"/>
        <v>Pendente</v>
      </c>
      <c r="L319" s="8"/>
      <c r="M319" s="8" t="str">
        <f t="shared" si="4"/>
        <v/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8"/>
      <c r="B320" s="8"/>
      <c r="C320" s="8"/>
      <c r="D320" s="8"/>
      <c r="E320" s="8"/>
      <c r="F320" s="6"/>
      <c r="G320" s="7" t="str">
        <f t="shared" si="1"/>
        <v/>
      </c>
      <c r="H320" s="7">
        <f t="array" ref="H320">IFERROR(INDEX(Produtos!I:I,MATCH(C320&amp;D320,Produtos!B:B&amp;Produtos!C:C,0)),"")</f>
        <v>0</v>
      </c>
      <c r="I320" s="7" t="str">
        <f t="shared" si="5"/>
        <v/>
      </c>
      <c r="J320" s="8"/>
      <c r="K320" s="8" t="str">
        <f t="shared" si="3"/>
        <v>Pendente</v>
      </c>
      <c r="L320" s="8"/>
      <c r="M320" s="8" t="str">
        <f t="shared" si="4"/>
        <v/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8"/>
      <c r="B321" s="8"/>
      <c r="C321" s="8"/>
      <c r="D321" s="8"/>
      <c r="E321" s="8"/>
      <c r="F321" s="6"/>
      <c r="G321" s="7" t="str">
        <f t="shared" si="1"/>
        <v/>
      </c>
      <c r="H321" s="7">
        <f t="array" ref="H321">IFERROR(INDEX(Produtos!I:I,MATCH(C321&amp;D321,Produtos!B:B&amp;Produtos!C:C,0)),"")</f>
        <v>0</v>
      </c>
      <c r="I321" s="7" t="str">
        <f t="shared" si="5"/>
        <v/>
      </c>
      <c r="J321" s="8"/>
      <c r="K321" s="8" t="str">
        <f t="shared" si="3"/>
        <v>Pendente</v>
      </c>
      <c r="L321" s="8"/>
      <c r="M321" s="8" t="str">
        <f t="shared" si="4"/>
        <v/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8"/>
      <c r="B322" s="8"/>
      <c r="C322" s="8"/>
      <c r="D322" s="8"/>
      <c r="E322" s="8"/>
      <c r="F322" s="6"/>
      <c r="G322" s="7" t="str">
        <f t="shared" si="1"/>
        <v/>
      </c>
      <c r="H322" s="7">
        <f t="array" ref="H322">IFERROR(INDEX(Produtos!I:I,MATCH(C322&amp;D322,Produtos!B:B&amp;Produtos!C:C,0)),"")</f>
        <v>0</v>
      </c>
      <c r="I322" s="7" t="str">
        <f t="shared" si="5"/>
        <v/>
      </c>
      <c r="J322" s="8"/>
      <c r="K322" s="8" t="str">
        <f t="shared" si="3"/>
        <v>Pendente</v>
      </c>
      <c r="L322" s="8"/>
      <c r="M322" s="8" t="str">
        <f t="shared" si="4"/>
        <v/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8"/>
      <c r="B323" s="8"/>
      <c r="C323" s="8"/>
      <c r="D323" s="8"/>
      <c r="E323" s="8"/>
      <c r="F323" s="6"/>
      <c r="G323" s="7" t="str">
        <f t="shared" si="1"/>
        <v/>
      </c>
      <c r="H323" s="7">
        <f t="array" ref="H323">IFERROR(INDEX(Produtos!I:I,MATCH(C323&amp;D323,Produtos!B:B&amp;Produtos!C:C,0)),"")</f>
        <v>0</v>
      </c>
      <c r="I323" s="7" t="str">
        <f t="shared" si="5"/>
        <v/>
      </c>
      <c r="J323" s="8"/>
      <c r="K323" s="8" t="str">
        <f t="shared" si="3"/>
        <v>Pendente</v>
      </c>
      <c r="L323" s="8"/>
      <c r="M323" s="8" t="str">
        <f t="shared" si="4"/>
        <v/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8"/>
      <c r="B324" s="8"/>
      <c r="C324" s="8"/>
      <c r="D324" s="8"/>
      <c r="E324" s="8"/>
      <c r="F324" s="6"/>
      <c r="G324" s="7" t="str">
        <f t="shared" si="1"/>
        <v/>
      </c>
      <c r="H324" s="7">
        <f t="array" ref="H324">IFERROR(INDEX(Produtos!I:I,MATCH(C324&amp;D324,Produtos!B:B&amp;Produtos!C:C,0)),"")</f>
        <v>0</v>
      </c>
      <c r="I324" s="7" t="str">
        <f t="shared" si="5"/>
        <v/>
      </c>
      <c r="J324" s="8"/>
      <c r="K324" s="8" t="str">
        <f t="shared" si="3"/>
        <v>Pendente</v>
      </c>
      <c r="L324" s="8"/>
      <c r="M324" s="8" t="str">
        <f t="shared" si="4"/>
        <v/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8"/>
      <c r="B325" s="8"/>
      <c r="C325" s="8"/>
      <c r="D325" s="8"/>
      <c r="E325" s="8"/>
      <c r="F325" s="6"/>
      <c r="G325" s="7" t="str">
        <f t="shared" si="1"/>
        <v/>
      </c>
      <c r="H325" s="7">
        <f t="array" ref="H325">IFERROR(INDEX(Produtos!I:I,MATCH(C325&amp;D325,Produtos!B:B&amp;Produtos!C:C,0)),"")</f>
        <v>0</v>
      </c>
      <c r="I325" s="7" t="str">
        <f t="shared" si="5"/>
        <v/>
      </c>
      <c r="J325" s="8"/>
      <c r="K325" s="8" t="str">
        <f t="shared" si="3"/>
        <v>Pendente</v>
      </c>
      <c r="L325" s="8"/>
      <c r="M325" s="8" t="str">
        <f t="shared" si="4"/>
        <v/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8"/>
      <c r="B326" s="8"/>
      <c r="C326" s="8"/>
      <c r="D326" s="8"/>
      <c r="E326" s="8"/>
      <c r="F326" s="6"/>
      <c r="G326" s="7" t="str">
        <f t="shared" si="1"/>
        <v/>
      </c>
      <c r="H326" s="7">
        <f t="array" ref="H326">IFERROR(INDEX(Produtos!I:I,MATCH(C326&amp;D326,Produtos!B:B&amp;Produtos!C:C,0)),"")</f>
        <v>0</v>
      </c>
      <c r="I326" s="7" t="str">
        <f t="shared" si="5"/>
        <v/>
      </c>
      <c r="J326" s="8"/>
      <c r="K326" s="8" t="str">
        <f t="shared" si="3"/>
        <v>Pendente</v>
      </c>
      <c r="L326" s="8"/>
      <c r="M326" s="8" t="str">
        <f t="shared" si="4"/>
        <v/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8"/>
      <c r="B327" s="8"/>
      <c r="C327" s="8"/>
      <c r="D327" s="8"/>
      <c r="E327" s="8"/>
      <c r="F327" s="6"/>
      <c r="G327" s="7" t="str">
        <f t="shared" si="1"/>
        <v/>
      </c>
      <c r="H327" s="7">
        <f t="array" ref="H327">IFERROR(INDEX(Produtos!I:I,MATCH(C327&amp;D327,Produtos!B:B&amp;Produtos!C:C,0)),"")</f>
        <v>0</v>
      </c>
      <c r="I327" s="7" t="str">
        <f t="shared" si="5"/>
        <v/>
      </c>
      <c r="J327" s="8"/>
      <c r="K327" s="8" t="str">
        <f t="shared" si="3"/>
        <v>Pendente</v>
      </c>
      <c r="L327" s="8"/>
      <c r="M327" s="8" t="str">
        <f t="shared" si="4"/>
        <v/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8"/>
      <c r="B328" s="8"/>
      <c r="C328" s="8"/>
      <c r="D328" s="8"/>
      <c r="E328" s="8"/>
      <c r="F328" s="6"/>
      <c r="G328" s="7" t="str">
        <f t="shared" si="1"/>
        <v/>
      </c>
      <c r="H328" s="7">
        <f t="array" ref="H328">IFERROR(INDEX(Produtos!I:I,MATCH(C328&amp;D328,Produtos!B:B&amp;Produtos!C:C,0)),"")</f>
        <v>0</v>
      </c>
      <c r="I328" s="7" t="str">
        <f t="shared" si="5"/>
        <v/>
      </c>
      <c r="J328" s="8"/>
      <c r="K328" s="8" t="str">
        <f t="shared" si="3"/>
        <v>Pendente</v>
      </c>
      <c r="L328" s="8"/>
      <c r="M328" s="8" t="str">
        <f t="shared" si="4"/>
        <v/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8"/>
      <c r="B329" s="8"/>
      <c r="C329" s="8"/>
      <c r="D329" s="8"/>
      <c r="E329" s="8"/>
      <c r="F329" s="6"/>
      <c r="G329" s="7" t="str">
        <f t="shared" si="1"/>
        <v/>
      </c>
      <c r="H329" s="7">
        <f t="array" ref="H329">IFERROR(INDEX(Produtos!I:I,MATCH(C329&amp;D329,Produtos!B:B&amp;Produtos!C:C,0)),"")</f>
        <v>0</v>
      </c>
      <c r="I329" s="7" t="str">
        <f t="shared" si="5"/>
        <v/>
      </c>
      <c r="J329" s="8"/>
      <c r="K329" s="8" t="str">
        <f t="shared" si="3"/>
        <v>Pendente</v>
      </c>
      <c r="L329" s="8"/>
      <c r="M329" s="8" t="str">
        <f t="shared" si="4"/>
        <v/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8"/>
      <c r="B330" s="8"/>
      <c r="C330" s="8"/>
      <c r="D330" s="8"/>
      <c r="E330" s="8"/>
      <c r="F330" s="6"/>
      <c r="G330" s="7" t="str">
        <f t="shared" si="1"/>
        <v/>
      </c>
      <c r="H330" s="7">
        <f t="array" ref="H330">IFERROR(INDEX(Produtos!I:I,MATCH(C330&amp;D330,Produtos!B:B&amp;Produtos!C:C,0)),"")</f>
        <v>0</v>
      </c>
      <c r="I330" s="7" t="str">
        <f t="shared" si="5"/>
        <v/>
      </c>
      <c r="J330" s="8"/>
      <c r="K330" s="8" t="str">
        <f t="shared" si="3"/>
        <v>Pendente</v>
      </c>
      <c r="L330" s="8"/>
      <c r="M330" s="8" t="str">
        <f t="shared" si="4"/>
        <v/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8"/>
      <c r="B331" s="8"/>
      <c r="C331" s="8"/>
      <c r="D331" s="8"/>
      <c r="E331" s="8"/>
      <c r="F331" s="6"/>
      <c r="G331" s="7" t="str">
        <f t="shared" si="1"/>
        <v/>
      </c>
      <c r="H331" s="7">
        <f t="array" ref="H331">IFERROR(INDEX(Produtos!I:I,MATCH(C331&amp;D331,Produtos!B:B&amp;Produtos!C:C,0)),"")</f>
        <v>0</v>
      </c>
      <c r="I331" s="7" t="str">
        <f t="shared" si="5"/>
        <v/>
      </c>
      <c r="J331" s="8"/>
      <c r="K331" s="8" t="str">
        <f t="shared" si="3"/>
        <v>Pendente</v>
      </c>
      <c r="L331" s="8"/>
      <c r="M331" s="8" t="str">
        <f t="shared" si="4"/>
        <v/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8"/>
      <c r="B332" s="8"/>
      <c r="C332" s="8"/>
      <c r="D332" s="8"/>
      <c r="E332" s="8"/>
      <c r="F332" s="6"/>
      <c r="G332" s="7" t="str">
        <f t="shared" si="1"/>
        <v/>
      </c>
      <c r="H332" s="7">
        <f t="array" ref="H332">IFERROR(INDEX(Produtos!I:I,MATCH(C332&amp;D332,Produtos!B:B&amp;Produtos!C:C,0)),"")</f>
        <v>0</v>
      </c>
      <c r="I332" s="7" t="str">
        <f t="shared" si="5"/>
        <v/>
      </c>
      <c r="J332" s="8"/>
      <c r="K332" s="8" t="str">
        <f t="shared" si="3"/>
        <v>Pendente</v>
      </c>
      <c r="L332" s="8"/>
      <c r="M332" s="8" t="str">
        <f t="shared" si="4"/>
        <v/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8"/>
      <c r="B333" s="8"/>
      <c r="C333" s="8"/>
      <c r="D333" s="8"/>
      <c r="E333" s="8"/>
      <c r="F333" s="6"/>
      <c r="G333" s="7" t="str">
        <f t="shared" si="1"/>
        <v/>
      </c>
      <c r="H333" s="7">
        <f t="array" ref="H333">IFERROR(INDEX(Produtos!I:I,MATCH(C333&amp;D333,Produtos!B:B&amp;Produtos!C:C,0)),"")</f>
        <v>0</v>
      </c>
      <c r="I333" s="7" t="str">
        <f t="shared" si="5"/>
        <v/>
      </c>
      <c r="J333" s="8"/>
      <c r="K333" s="8" t="str">
        <f t="shared" si="3"/>
        <v>Pendente</v>
      </c>
      <c r="L333" s="8"/>
      <c r="M333" s="8" t="str">
        <f t="shared" si="4"/>
        <v/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8"/>
      <c r="B334" s="8"/>
      <c r="C334" s="8"/>
      <c r="D334" s="8"/>
      <c r="E334" s="8"/>
      <c r="F334" s="6"/>
      <c r="G334" s="7" t="str">
        <f t="shared" si="1"/>
        <v/>
      </c>
      <c r="H334" s="7">
        <f t="array" ref="H334">IFERROR(INDEX(Produtos!I:I,MATCH(C334&amp;D334,Produtos!B:B&amp;Produtos!C:C,0)),"")</f>
        <v>0</v>
      </c>
      <c r="I334" s="7" t="str">
        <f t="shared" si="5"/>
        <v/>
      </c>
      <c r="J334" s="8"/>
      <c r="K334" s="8" t="str">
        <f t="shared" si="3"/>
        <v>Pendente</v>
      </c>
      <c r="L334" s="8"/>
      <c r="M334" s="8" t="str">
        <f t="shared" si="4"/>
        <v/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8"/>
      <c r="B335" s="8"/>
      <c r="C335" s="8"/>
      <c r="D335" s="8"/>
      <c r="E335" s="8"/>
      <c r="F335" s="6"/>
      <c r="G335" s="7" t="str">
        <f t="shared" si="1"/>
        <v/>
      </c>
      <c r="H335" s="7">
        <f t="array" ref="H335">IFERROR(INDEX(Produtos!I:I,MATCH(C335&amp;D335,Produtos!B:B&amp;Produtos!C:C,0)),"")</f>
        <v>0</v>
      </c>
      <c r="I335" s="7" t="str">
        <f t="shared" si="5"/>
        <v/>
      </c>
      <c r="J335" s="8"/>
      <c r="K335" s="8" t="str">
        <f t="shared" si="3"/>
        <v>Pendente</v>
      </c>
      <c r="L335" s="8"/>
      <c r="M335" s="8" t="str">
        <f t="shared" si="4"/>
        <v/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8"/>
      <c r="B336" s="8"/>
      <c r="C336" s="8"/>
      <c r="D336" s="8"/>
      <c r="E336" s="8"/>
      <c r="F336" s="6"/>
      <c r="G336" s="7" t="str">
        <f t="shared" si="1"/>
        <v/>
      </c>
      <c r="H336" s="7">
        <f t="array" ref="H336">IFERROR(INDEX(Produtos!I:I,MATCH(C336&amp;D336,Produtos!B:B&amp;Produtos!C:C,0)),"")</f>
        <v>0</v>
      </c>
      <c r="I336" s="7" t="str">
        <f t="shared" si="5"/>
        <v/>
      </c>
      <c r="J336" s="8"/>
      <c r="K336" s="8" t="str">
        <f t="shared" si="3"/>
        <v>Pendente</v>
      </c>
      <c r="L336" s="8"/>
      <c r="M336" s="8" t="str">
        <f t="shared" si="4"/>
        <v/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8"/>
      <c r="B337" s="8"/>
      <c r="C337" s="8"/>
      <c r="D337" s="8"/>
      <c r="E337" s="8"/>
      <c r="F337" s="6"/>
      <c r="G337" s="7" t="str">
        <f t="shared" si="1"/>
        <v/>
      </c>
      <c r="H337" s="7">
        <f t="array" ref="H337">IFERROR(INDEX(Produtos!I:I,MATCH(C337&amp;D337,Produtos!B:B&amp;Produtos!C:C,0)),"")</f>
        <v>0</v>
      </c>
      <c r="I337" s="7" t="str">
        <f t="shared" si="5"/>
        <v/>
      </c>
      <c r="J337" s="8"/>
      <c r="K337" s="8" t="str">
        <f t="shared" si="3"/>
        <v>Pendente</v>
      </c>
      <c r="L337" s="8"/>
      <c r="M337" s="8" t="str">
        <f t="shared" si="4"/>
        <v/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8"/>
      <c r="B338" s="8"/>
      <c r="C338" s="8"/>
      <c r="D338" s="8"/>
      <c r="E338" s="8"/>
      <c r="F338" s="6"/>
      <c r="G338" s="7" t="str">
        <f t="shared" si="1"/>
        <v/>
      </c>
      <c r="H338" s="7">
        <f t="array" ref="H338">IFERROR(INDEX(Produtos!I:I,MATCH(C338&amp;D338,Produtos!B:B&amp;Produtos!C:C,0)),"")</f>
        <v>0</v>
      </c>
      <c r="I338" s="7" t="str">
        <f t="shared" si="5"/>
        <v/>
      </c>
      <c r="J338" s="8"/>
      <c r="K338" s="8" t="str">
        <f t="shared" si="3"/>
        <v>Pendente</v>
      </c>
      <c r="L338" s="8"/>
      <c r="M338" s="8" t="str">
        <f t="shared" si="4"/>
        <v/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8"/>
      <c r="B339" s="8"/>
      <c r="C339" s="8"/>
      <c r="D339" s="8"/>
      <c r="E339" s="8"/>
      <c r="F339" s="6"/>
      <c r="G339" s="7" t="str">
        <f t="shared" si="1"/>
        <v/>
      </c>
      <c r="H339" s="7">
        <f t="array" ref="H339">IFERROR(INDEX(Produtos!I:I,MATCH(C339&amp;D339,Produtos!B:B&amp;Produtos!C:C,0)),"")</f>
        <v>0</v>
      </c>
      <c r="I339" s="7" t="str">
        <f t="shared" si="5"/>
        <v/>
      </c>
      <c r="J339" s="8"/>
      <c r="K339" s="8" t="str">
        <f t="shared" si="3"/>
        <v>Pendente</v>
      </c>
      <c r="L339" s="8"/>
      <c r="M339" s="8" t="str">
        <f t="shared" si="4"/>
        <v/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8"/>
      <c r="B340" s="8"/>
      <c r="C340" s="8"/>
      <c r="D340" s="8"/>
      <c r="E340" s="8"/>
      <c r="F340" s="6"/>
      <c r="G340" s="7" t="str">
        <f t="shared" si="1"/>
        <v/>
      </c>
      <c r="H340" s="7">
        <f t="array" ref="H340">IFERROR(INDEX(Produtos!I:I,MATCH(C340&amp;D340,Produtos!B:B&amp;Produtos!C:C,0)),"")</f>
        <v>0</v>
      </c>
      <c r="I340" s="7" t="str">
        <f t="shared" si="5"/>
        <v/>
      </c>
      <c r="J340" s="8"/>
      <c r="K340" s="8" t="str">
        <f t="shared" si="3"/>
        <v>Pendente</v>
      </c>
      <c r="L340" s="8"/>
      <c r="M340" s="8" t="str">
        <f t="shared" si="4"/>
        <v/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8"/>
      <c r="B341" s="8"/>
      <c r="C341" s="8"/>
      <c r="D341" s="8"/>
      <c r="E341" s="8"/>
      <c r="F341" s="6"/>
      <c r="G341" s="7" t="str">
        <f t="shared" si="1"/>
        <v/>
      </c>
      <c r="H341" s="7">
        <f t="array" ref="H341">IFERROR(INDEX(Produtos!I:I,MATCH(C341&amp;D341,Produtos!B:B&amp;Produtos!C:C,0)),"")</f>
        <v>0</v>
      </c>
      <c r="I341" s="7" t="str">
        <f t="shared" si="5"/>
        <v/>
      </c>
      <c r="J341" s="8"/>
      <c r="K341" s="8" t="str">
        <f t="shared" si="3"/>
        <v>Pendente</v>
      </c>
      <c r="L341" s="8"/>
      <c r="M341" s="8" t="str">
        <f t="shared" si="4"/>
        <v/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8"/>
      <c r="B342" s="8"/>
      <c r="C342" s="8"/>
      <c r="D342" s="8"/>
      <c r="E342" s="8"/>
      <c r="F342" s="6"/>
      <c r="G342" s="7" t="str">
        <f t="shared" si="1"/>
        <v/>
      </c>
      <c r="H342" s="7">
        <f t="array" ref="H342">IFERROR(INDEX(Produtos!I:I,MATCH(C342&amp;D342,Produtos!B:B&amp;Produtos!C:C,0)),"")</f>
        <v>0</v>
      </c>
      <c r="I342" s="7" t="str">
        <f t="shared" si="5"/>
        <v/>
      </c>
      <c r="J342" s="8"/>
      <c r="K342" s="8" t="str">
        <f t="shared" si="3"/>
        <v>Pendente</v>
      </c>
      <c r="L342" s="8"/>
      <c r="M342" s="8" t="str">
        <f t="shared" si="4"/>
        <v/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8"/>
      <c r="B343" s="8"/>
      <c r="C343" s="8"/>
      <c r="D343" s="8"/>
      <c r="E343" s="8"/>
      <c r="F343" s="6"/>
      <c r="G343" s="7" t="str">
        <f t="shared" si="1"/>
        <v/>
      </c>
      <c r="H343" s="7">
        <f t="array" ref="H343">IFERROR(INDEX(Produtos!I:I,MATCH(C343&amp;D343,Produtos!B:B&amp;Produtos!C:C,0)),"")</f>
        <v>0</v>
      </c>
      <c r="I343" s="7" t="str">
        <f t="shared" si="5"/>
        <v/>
      </c>
      <c r="J343" s="8"/>
      <c r="K343" s="8" t="str">
        <f t="shared" si="3"/>
        <v>Pendente</v>
      </c>
      <c r="L343" s="8"/>
      <c r="M343" s="8" t="str">
        <f t="shared" si="4"/>
        <v/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8"/>
      <c r="B344" s="8"/>
      <c r="C344" s="8"/>
      <c r="D344" s="8"/>
      <c r="E344" s="8"/>
      <c r="F344" s="6"/>
      <c r="G344" s="7" t="str">
        <f t="shared" si="1"/>
        <v/>
      </c>
      <c r="H344" s="7">
        <f t="array" ref="H344">IFERROR(INDEX(Produtos!I:I,MATCH(C344&amp;D344,Produtos!B:B&amp;Produtos!C:C,0)),"")</f>
        <v>0</v>
      </c>
      <c r="I344" s="7" t="str">
        <f t="shared" si="5"/>
        <v/>
      </c>
      <c r="J344" s="8"/>
      <c r="K344" s="8" t="str">
        <f t="shared" si="3"/>
        <v>Pendente</v>
      </c>
      <c r="L344" s="8"/>
      <c r="M344" s="8" t="str">
        <f t="shared" si="4"/>
        <v/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8"/>
      <c r="B345" s="8"/>
      <c r="C345" s="8"/>
      <c r="D345" s="8"/>
      <c r="E345" s="8"/>
      <c r="F345" s="6"/>
      <c r="G345" s="7" t="str">
        <f t="shared" si="1"/>
        <v/>
      </c>
      <c r="H345" s="7">
        <f t="array" ref="H345">IFERROR(INDEX(Produtos!I:I,MATCH(C345&amp;D345,Produtos!B:B&amp;Produtos!C:C,0)),"")</f>
        <v>0</v>
      </c>
      <c r="I345" s="7" t="str">
        <f t="shared" si="5"/>
        <v/>
      </c>
      <c r="J345" s="8"/>
      <c r="K345" s="8" t="str">
        <f t="shared" si="3"/>
        <v>Pendente</v>
      </c>
      <c r="L345" s="8"/>
      <c r="M345" s="8" t="str">
        <f t="shared" si="4"/>
        <v/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8"/>
      <c r="B346" s="8"/>
      <c r="C346" s="8"/>
      <c r="D346" s="8"/>
      <c r="E346" s="8"/>
      <c r="F346" s="6"/>
      <c r="G346" s="7" t="str">
        <f t="shared" si="1"/>
        <v/>
      </c>
      <c r="H346" s="7">
        <f t="array" ref="H346">IFERROR(INDEX(Produtos!I:I,MATCH(C346&amp;D346,Produtos!B:B&amp;Produtos!C:C,0)),"")</f>
        <v>0</v>
      </c>
      <c r="I346" s="7" t="str">
        <f t="shared" si="5"/>
        <v/>
      </c>
      <c r="J346" s="8"/>
      <c r="K346" s="8" t="str">
        <f t="shared" si="3"/>
        <v>Pendente</v>
      </c>
      <c r="L346" s="8"/>
      <c r="M346" s="8" t="str">
        <f t="shared" si="4"/>
        <v/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8"/>
      <c r="B347" s="8"/>
      <c r="C347" s="8"/>
      <c r="D347" s="8"/>
      <c r="E347" s="8"/>
      <c r="F347" s="6"/>
      <c r="G347" s="7" t="str">
        <f t="shared" si="1"/>
        <v/>
      </c>
      <c r="H347" s="7">
        <f t="array" ref="H347">IFERROR(INDEX(Produtos!I:I,MATCH(C347&amp;D347,Produtos!B:B&amp;Produtos!C:C,0)),"")</f>
        <v>0</v>
      </c>
      <c r="I347" s="7" t="str">
        <f t="shared" si="5"/>
        <v/>
      </c>
      <c r="J347" s="8"/>
      <c r="K347" s="8" t="str">
        <f t="shared" si="3"/>
        <v>Pendente</v>
      </c>
      <c r="L347" s="8"/>
      <c r="M347" s="8" t="str">
        <f t="shared" si="4"/>
        <v/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8"/>
      <c r="B348" s="8"/>
      <c r="C348" s="8"/>
      <c r="D348" s="8"/>
      <c r="E348" s="8"/>
      <c r="F348" s="6"/>
      <c r="G348" s="7" t="str">
        <f t="shared" si="1"/>
        <v/>
      </c>
      <c r="H348" s="7">
        <f t="array" ref="H348">IFERROR(INDEX(Produtos!I:I,MATCH(C348&amp;D348,Produtos!B:B&amp;Produtos!C:C,0)),"")</f>
        <v>0</v>
      </c>
      <c r="I348" s="7" t="str">
        <f t="shared" si="5"/>
        <v/>
      </c>
      <c r="J348" s="8"/>
      <c r="K348" s="8" t="str">
        <f t="shared" si="3"/>
        <v>Pendente</v>
      </c>
      <c r="L348" s="8"/>
      <c r="M348" s="8" t="str">
        <f t="shared" si="4"/>
        <v/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8"/>
      <c r="B349" s="8"/>
      <c r="C349" s="8"/>
      <c r="D349" s="8"/>
      <c r="E349" s="8"/>
      <c r="F349" s="6"/>
      <c r="G349" s="7" t="str">
        <f t="shared" si="1"/>
        <v/>
      </c>
      <c r="H349" s="7">
        <f t="array" ref="H349">IFERROR(INDEX(Produtos!I:I,MATCH(C349&amp;D349,Produtos!B:B&amp;Produtos!C:C,0)),"")</f>
        <v>0</v>
      </c>
      <c r="I349" s="7" t="str">
        <f t="shared" si="5"/>
        <v/>
      </c>
      <c r="J349" s="8"/>
      <c r="K349" s="8" t="str">
        <f t="shared" si="3"/>
        <v>Pendente</v>
      </c>
      <c r="L349" s="8"/>
      <c r="M349" s="8" t="str">
        <f t="shared" si="4"/>
        <v/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8"/>
      <c r="B350" s="8"/>
      <c r="C350" s="8"/>
      <c r="D350" s="8"/>
      <c r="E350" s="8"/>
      <c r="F350" s="6"/>
      <c r="G350" s="7" t="str">
        <f t="shared" si="1"/>
        <v/>
      </c>
      <c r="H350" s="7">
        <f t="array" ref="H350">IFERROR(INDEX(Produtos!I:I,MATCH(C350&amp;D350,Produtos!B:B&amp;Produtos!C:C,0)),"")</f>
        <v>0</v>
      </c>
      <c r="I350" s="7" t="str">
        <f t="shared" si="5"/>
        <v/>
      </c>
      <c r="J350" s="8"/>
      <c r="K350" s="8" t="str">
        <f t="shared" si="3"/>
        <v>Pendente</v>
      </c>
      <c r="L350" s="8"/>
      <c r="M350" s="8" t="str">
        <f t="shared" si="4"/>
        <v/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8"/>
      <c r="B351" s="8"/>
      <c r="C351" s="8"/>
      <c r="D351" s="8"/>
      <c r="E351" s="8"/>
      <c r="F351" s="6"/>
      <c r="G351" s="7" t="str">
        <f t="shared" si="1"/>
        <v/>
      </c>
      <c r="H351" s="7">
        <f t="array" ref="H351">IFERROR(INDEX(Produtos!I:I,MATCH(C351&amp;D351,Produtos!B:B&amp;Produtos!C:C,0)),"")</f>
        <v>0</v>
      </c>
      <c r="I351" s="7" t="str">
        <f t="shared" si="5"/>
        <v/>
      </c>
      <c r="J351" s="8"/>
      <c r="K351" s="8" t="str">
        <f t="shared" si="3"/>
        <v>Pendente</v>
      </c>
      <c r="L351" s="8"/>
      <c r="M351" s="8" t="str">
        <f t="shared" si="4"/>
        <v/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8"/>
      <c r="B352" s="8"/>
      <c r="C352" s="8"/>
      <c r="D352" s="8"/>
      <c r="E352" s="8"/>
      <c r="F352" s="6"/>
      <c r="G352" s="7" t="str">
        <f t="shared" si="1"/>
        <v/>
      </c>
      <c r="H352" s="7">
        <f t="array" ref="H352">IFERROR(INDEX(Produtos!I:I,MATCH(C352&amp;D352,Produtos!B:B&amp;Produtos!C:C,0)),"")</f>
        <v>0</v>
      </c>
      <c r="I352" s="7" t="str">
        <f t="shared" si="5"/>
        <v/>
      </c>
      <c r="J352" s="8"/>
      <c r="K352" s="8" t="str">
        <f t="shared" si="3"/>
        <v>Pendente</v>
      </c>
      <c r="L352" s="8"/>
      <c r="M352" s="8" t="str">
        <f t="shared" si="4"/>
        <v/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8"/>
      <c r="B353" s="8"/>
      <c r="C353" s="8"/>
      <c r="D353" s="8"/>
      <c r="E353" s="8"/>
      <c r="F353" s="6"/>
      <c r="G353" s="7" t="str">
        <f t="shared" si="1"/>
        <v/>
      </c>
      <c r="H353" s="7">
        <f t="array" ref="H353">IFERROR(INDEX(Produtos!I:I,MATCH(C353&amp;D353,Produtos!B:B&amp;Produtos!C:C,0)),"")</f>
        <v>0</v>
      </c>
      <c r="I353" s="7" t="str">
        <f t="shared" si="5"/>
        <v/>
      </c>
      <c r="J353" s="8"/>
      <c r="K353" s="8" t="str">
        <f t="shared" si="3"/>
        <v>Pendente</v>
      </c>
      <c r="L353" s="8"/>
      <c r="M353" s="8" t="str">
        <f t="shared" si="4"/>
        <v/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8"/>
      <c r="B354" s="8"/>
      <c r="C354" s="8"/>
      <c r="D354" s="8"/>
      <c r="E354" s="8"/>
      <c r="F354" s="6"/>
      <c r="G354" s="7" t="str">
        <f t="shared" si="1"/>
        <v/>
      </c>
      <c r="H354" s="7">
        <f t="array" ref="H354">IFERROR(INDEX(Produtos!I:I,MATCH(C354&amp;D354,Produtos!B:B&amp;Produtos!C:C,0)),"")</f>
        <v>0</v>
      </c>
      <c r="I354" s="7" t="str">
        <f t="shared" si="5"/>
        <v/>
      </c>
      <c r="J354" s="8"/>
      <c r="K354" s="8" t="str">
        <f t="shared" si="3"/>
        <v>Pendente</v>
      </c>
      <c r="L354" s="8"/>
      <c r="M354" s="8" t="str">
        <f t="shared" si="4"/>
        <v/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8"/>
      <c r="B355" s="8"/>
      <c r="C355" s="8"/>
      <c r="D355" s="8"/>
      <c r="E355" s="8"/>
      <c r="F355" s="6"/>
      <c r="G355" s="7" t="str">
        <f t="shared" si="1"/>
        <v/>
      </c>
      <c r="H355" s="7">
        <f t="array" ref="H355">IFERROR(INDEX(Produtos!I:I,MATCH(C355&amp;D355,Produtos!B:B&amp;Produtos!C:C,0)),"")</f>
        <v>0</v>
      </c>
      <c r="I355" s="7" t="str">
        <f t="shared" si="5"/>
        <v/>
      </c>
      <c r="J355" s="8"/>
      <c r="K355" s="8" t="str">
        <f t="shared" si="3"/>
        <v>Pendente</v>
      </c>
      <c r="L355" s="8"/>
      <c r="M355" s="8" t="str">
        <f t="shared" si="4"/>
        <v/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8"/>
      <c r="B356" s="8"/>
      <c r="C356" s="8"/>
      <c r="D356" s="8"/>
      <c r="E356" s="8"/>
      <c r="F356" s="6"/>
      <c r="G356" s="7" t="str">
        <f t="shared" si="1"/>
        <v/>
      </c>
      <c r="H356" s="7">
        <f t="array" ref="H356">IFERROR(INDEX(Produtos!I:I,MATCH(C356&amp;D356,Produtos!B:B&amp;Produtos!C:C,0)),"")</f>
        <v>0</v>
      </c>
      <c r="I356" s="7" t="str">
        <f t="shared" si="5"/>
        <v/>
      </c>
      <c r="J356" s="8"/>
      <c r="K356" s="8" t="str">
        <f t="shared" si="3"/>
        <v>Pendente</v>
      </c>
      <c r="L356" s="8"/>
      <c r="M356" s="8" t="str">
        <f t="shared" si="4"/>
        <v/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8"/>
      <c r="B357" s="8"/>
      <c r="C357" s="8"/>
      <c r="D357" s="8"/>
      <c r="E357" s="8"/>
      <c r="F357" s="6"/>
      <c r="G357" s="7" t="str">
        <f t="shared" si="1"/>
        <v/>
      </c>
      <c r="H357" s="7">
        <f t="array" ref="H357">IFERROR(INDEX(Produtos!I:I,MATCH(C357&amp;D357,Produtos!B:B&amp;Produtos!C:C,0)),"")</f>
        <v>0</v>
      </c>
      <c r="I357" s="7" t="str">
        <f t="shared" si="5"/>
        <v/>
      </c>
      <c r="J357" s="8"/>
      <c r="K357" s="8" t="str">
        <f t="shared" si="3"/>
        <v>Pendente</v>
      </c>
      <c r="L357" s="8"/>
      <c r="M357" s="8" t="str">
        <f t="shared" si="4"/>
        <v/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8"/>
      <c r="B358" s="8"/>
      <c r="C358" s="8"/>
      <c r="D358" s="8"/>
      <c r="E358" s="8"/>
      <c r="F358" s="6"/>
      <c r="G358" s="7" t="str">
        <f t="shared" si="1"/>
        <v/>
      </c>
      <c r="H358" s="7">
        <f t="array" ref="H358">IFERROR(INDEX(Produtos!I:I,MATCH(C358&amp;D358,Produtos!B:B&amp;Produtos!C:C,0)),"")</f>
        <v>0</v>
      </c>
      <c r="I358" s="7" t="str">
        <f t="shared" si="5"/>
        <v/>
      </c>
      <c r="J358" s="8"/>
      <c r="K358" s="8" t="str">
        <f t="shared" si="3"/>
        <v>Pendente</v>
      </c>
      <c r="L358" s="8"/>
      <c r="M358" s="8" t="str">
        <f t="shared" si="4"/>
        <v/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8"/>
      <c r="B359" s="8"/>
      <c r="C359" s="8"/>
      <c r="D359" s="8"/>
      <c r="E359" s="8"/>
      <c r="F359" s="6"/>
      <c r="G359" s="7" t="str">
        <f t="shared" si="1"/>
        <v/>
      </c>
      <c r="H359" s="7">
        <f t="array" ref="H359">IFERROR(INDEX(Produtos!I:I,MATCH(C359&amp;D359,Produtos!B:B&amp;Produtos!C:C,0)),"")</f>
        <v>0</v>
      </c>
      <c r="I359" s="7" t="str">
        <f t="shared" si="5"/>
        <v/>
      </c>
      <c r="J359" s="8"/>
      <c r="K359" s="8" t="str">
        <f t="shared" si="3"/>
        <v>Pendente</v>
      </c>
      <c r="L359" s="8"/>
      <c r="M359" s="8" t="str">
        <f t="shared" si="4"/>
        <v/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8"/>
      <c r="B360" s="8"/>
      <c r="C360" s="8"/>
      <c r="D360" s="8"/>
      <c r="E360" s="8"/>
      <c r="F360" s="6"/>
      <c r="G360" s="7" t="str">
        <f t="shared" si="1"/>
        <v/>
      </c>
      <c r="H360" s="7">
        <f t="array" ref="H360">IFERROR(INDEX(Produtos!I:I,MATCH(C360&amp;D360,Produtos!B:B&amp;Produtos!C:C,0)),"")</f>
        <v>0</v>
      </c>
      <c r="I360" s="7" t="str">
        <f t="shared" si="5"/>
        <v/>
      </c>
      <c r="J360" s="8"/>
      <c r="K360" s="8" t="str">
        <f t="shared" si="3"/>
        <v>Pendente</v>
      </c>
      <c r="L360" s="8"/>
      <c r="M360" s="8" t="str">
        <f t="shared" si="4"/>
        <v/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8"/>
      <c r="B361" s="8"/>
      <c r="C361" s="8"/>
      <c r="D361" s="8"/>
      <c r="E361" s="8"/>
      <c r="F361" s="6"/>
      <c r="G361" s="7" t="str">
        <f t="shared" si="1"/>
        <v/>
      </c>
      <c r="H361" s="7">
        <f t="array" ref="H361">IFERROR(INDEX(Produtos!I:I,MATCH(C361&amp;D361,Produtos!B:B&amp;Produtos!C:C,0)),"")</f>
        <v>0</v>
      </c>
      <c r="I361" s="7" t="str">
        <f t="shared" si="5"/>
        <v/>
      </c>
      <c r="J361" s="8"/>
      <c r="K361" s="8" t="str">
        <f t="shared" si="3"/>
        <v>Pendente</v>
      </c>
      <c r="L361" s="8"/>
      <c r="M361" s="8" t="str">
        <f t="shared" si="4"/>
        <v/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8"/>
      <c r="B362" s="8"/>
      <c r="C362" s="8"/>
      <c r="D362" s="8"/>
      <c r="E362" s="8"/>
      <c r="F362" s="6"/>
      <c r="G362" s="7" t="str">
        <f t="shared" si="1"/>
        <v/>
      </c>
      <c r="H362" s="7">
        <f t="array" ref="H362">IFERROR(INDEX(Produtos!I:I,MATCH(C362&amp;D362,Produtos!B:B&amp;Produtos!C:C,0)),"")</f>
        <v>0</v>
      </c>
      <c r="I362" s="7" t="str">
        <f t="shared" si="5"/>
        <v/>
      </c>
      <c r="J362" s="8"/>
      <c r="K362" s="8" t="str">
        <f t="shared" si="3"/>
        <v>Pendente</v>
      </c>
      <c r="L362" s="8"/>
      <c r="M362" s="8" t="str">
        <f t="shared" si="4"/>
        <v/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8"/>
      <c r="B363" s="8"/>
      <c r="C363" s="8"/>
      <c r="D363" s="8"/>
      <c r="E363" s="8"/>
      <c r="F363" s="6"/>
      <c r="G363" s="7" t="str">
        <f t="shared" si="1"/>
        <v/>
      </c>
      <c r="H363" s="7">
        <f t="array" ref="H363">IFERROR(INDEX(Produtos!I:I,MATCH(C363&amp;D363,Produtos!B:B&amp;Produtos!C:C,0)),"")</f>
        <v>0</v>
      </c>
      <c r="I363" s="7" t="str">
        <f t="shared" si="5"/>
        <v/>
      </c>
      <c r="J363" s="8"/>
      <c r="K363" s="8" t="str">
        <f t="shared" si="3"/>
        <v>Pendente</v>
      </c>
      <c r="L363" s="8"/>
      <c r="M363" s="8" t="str">
        <f t="shared" si="4"/>
        <v/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8"/>
      <c r="B364" s="8"/>
      <c r="C364" s="8"/>
      <c r="D364" s="8"/>
      <c r="E364" s="8"/>
      <c r="F364" s="6"/>
      <c r="G364" s="7" t="str">
        <f t="shared" si="1"/>
        <v/>
      </c>
      <c r="H364" s="7">
        <f t="array" ref="H364">IFERROR(INDEX(Produtos!I:I,MATCH(C364&amp;D364,Produtos!B:B&amp;Produtos!C:C,0)),"")</f>
        <v>0</v>
      </c>
      <c r="I364" s="7" t="str">
        <f t="shared" si="5"/>
        <v/>
      </c>
      <c r="J364" s="8"/>
      <c r="K364" s="8" t="str">
        <f t="shared" si="3"/>
        <v>Pendente</v>
      </c>
      <c r="L364" s="8"/>
      <c r="M364" s="8" t="str">
        <f t="shared" si="4"/>
        <v/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8"/>
      <c r="B365" s="8"/>
      <c r="C365" s="8"/>
      <c r="D365" s="8"/>
      <c r="E365" s="8"/>
      <c r="F365" s="6"/>
      <c r="G365" s="7" t="str">
        <f t="shared" si="1"/>
        <v/>
      </c>
      <c r="H365" s="7">
        <f t="array" ref="H365">IFERROR(INDEX(Produtos!I:I,MATCH(C365&amp;D365,Produtos!B:B&amp;Produtos!C:C,0)),"")</f>
        <v>0</v>
      </c>
      <c r="I365" s="7" t="str">
        <f t="shared" si="5"/>
        <v/>
      </c>
      <c r="J365" s="8"/>
      <c r="K365" s="8" t="str">
        <f t="shared" si="3"/>
        <v>Pendente</v>
      </c>
      <c r="L365" s="8"/>
      <c r="M365" s="8" t="str">
        <f t="shared" si="4"/>
        <v/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8"/>
      <c r="B366" s="8"/>
      <c r="C366" s="8"/>
      <c r="D366" s="8"/>
      <c r="E366" s="8"/>
      <c r="F366" s="6"/>
      <c r="G366" s="7" t="str">
        <f t="shared" si="1"/>
        <v/>
      </c>
      <c r="H366" s="7">
        <f t="array" ref="H366">IFERROR(INDEX(Produtos!I:I,MATCH(C366&amp;D366,Produtos!B:B&amp;Produtos!C:C,0)),"")</f>
        <v>0</v>
      </c>
      <c r="I366" s="7" t="str">
        <f t="shared" si="5"/>
        <v/>
      </c>
      <c r="J366" s="8"/>
      <c r="K366" s="8" t="str">
        <f t="shared" si="3"/>
        <v>Pendente</v>
      </c>
      <c r="L366" s="8"/>
      <c r="M366" s="8" t="str">
        <f t="shared" si="4"/>
        <v/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8"/>
      <c r="B367" s="8"/>
      <c r="C367" s="8"/>
      <c r="D367" s="8"/>
      <c r="E367" s="8"/>
      <c r="F367" s="6"/>
      <c r="G367" s="7" t="str">
        <f t="shared" si="1"/>
        <v/>
      </c>
      <c r="H367" s="7">
        <f t="array" ref="H367">IFERROR(INDEX(Produtos!I:I,MATCH(C367&amp;D367,Produtos!B:B&amp;Produtos!C:C,0)),"")</f>
        <v>0</v>
      </c>
      <c r="I367" s="7" t="str">
        <f t="shared" si="5"/>
        <v/>
      </c>
      <c r="J367" s="8"/>
      <c r="K367" s="8" t="str">
        <f t="shared" si="3"/>
        <v>Pendente</v>
      </c>
      <c r="L367" s="8"/>
      <c r="M367" s="8" t="str">
        <f t="shared" si="4"/>
        <v/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8"/>
      <c r="B368" s="8"/>
      <c r="C368" s="8"/>
      <c r="D368" s="8"/>
      <c r="E368" s="8"/>
      <c r="F368" s="6"/>
      <c r="G368" s="7" t="str">
        <f t="shared" si="1"/>
        <v/>
      </c>
      <c r="H368" s="7">
        <f t="array" ref="H368">IFERROR(INDEX(Produtos!I:I,MATCH(C368&amp;D368,Produtos!B:B&amp;Produtos!C:C,0)),"")</f>
        <v>0</v>
      </c>
      <c r="I368" s="7" t="str">
        <f t="shared" si="5"/>
        <v/>
      </c>
      <c r="J368" s="8"/>
      <c r="K368" s="8" t="str">
        <f t="shared" si="3"/>
        <v>Pendente</v>
      </c>
      <c r="L368" s="8"/>
      <c r="M368" s="8" t="str">
        <f t="shared" si="4"/>
        <v/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8"/>
      <c r="B369" s="8"/>
      <c r="C369" s="8"/>
      <c r="D369" s="8"/>
      <c r="E369" s="8"/>
      <c r="F369" s="6"/>
      <c r="G369" s="7" t="str">
        <f t="shared" si="1"/>
        <v/>
      </c>
      <c r="H369" s="7">
        <f t="array" ref="H369">IFERROR(INDEX(Produtos!I:I,MATCH(C369&amp;D369,Produtos!B:B&amp;Produtos!C:C,0)),"")</f>
        <v>0</v>
      </c>
      <c r="I369" s="7" t="str">
        <f t="shared" si="5"/>
        <v/>
      </c>
      <c r="J369" s="8"/>
      <c r="K369" s="8" t="str">
        <f t="shared" si="3"/>
        <v>Pendente</v>
      </c>
      <c r="L369" s="8"/>
      <c r="M369" s="8" t="str">
        <f t="shared" si="4"/>
        <v/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8"/>
      <c r="B370" s="8"/>
      <c r="C370" s="8"/>
      <c r="D370" s="8"/>
      <c r="E370" s="8"/>
      <c r="F370" s="6"/>
      <c r="G370" s="7" t="str">
        <f t="shared" si="1"/>
        <v/>
      </c>
      <c r="H370" s="7">
        <f t="array" ref="H370">IFERROR(INDEX(Produtos!I:I,MATCH(C370&amp;D370,Produtos!B:B&amp;Produtos!C:C,0)),"")</f>
        <v>0</v>
      </c>
      <c r="I370" s="7" t="str">
        <f t="shared" si="5"/>
        <v/>
      </c>
      <c r="J370" s="8"/>
      <c r="K370" s="8" t="str">
        <f t="shared" si="3"/>
        <v>Pendente</v>
      </c>
      <c r="L370" s="8"/>
      <c r="M370" s="8" t="str">
        <f t="shared" si="4"/>
        <v/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8"/>
      <c r="B371" s="8"/>
      <c r="C371" s="8"/>
      <c r="D371" s="8"/>
      <c r="E371" s="8"/>
      <c r="F371" s="6"/>
      <c r="G371" s="7" t="str">
        <f t="shared" si="1"/>
        <v/>
      </c>
      <c r="H371" s="7">
        <f t="array" ref="H371">IFERROR(INDEX(Produtos!I:I,MATCH(C371&amp;D371,Produtos!B:B&amp;Produtos!C:C,0)),"")</f>
        <v>0</v>
      </c>
      <c r="I371" s="7" t="str">
        <f t="shared" si="5"/>
        <v/>
      </c>
      <c r="J371" s="8"/>
      <c r="K371" s="8" t="str">
        <f t="shared" si="3"/>
        <v>Pendente</v>
      </c>
      <c r="L371" s="8"/>
      <c r="M371" s="8" t="str">
        <f t="shared" si="4"/>
        <v/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8"/>
      <c r="B372" s="8"/>
      <c r="C372" s="8"/>
      <c r="D372" s="8"/>
      <c r="E372" s="8"/>
      <c r="F372" s="6"/>
      <c r="G372" s="7" t="str">
        <f t="shared" si="1"/>
        <v/>
      </c>
      <c r="H372" s="7">
        <f t="array" ref="H372">IFERROR(INDEX(Produtos!I:I,MATCH(C372&amp;D372,Produtos!B:B&amp;Produtos!C:C,0)),"")</f>
        <v>0</v>
      </c>
      <c r="I372" s="7" t="str">
        <f t="shared" si="5"/>
        <v/>
      </c>
      <c r="J372" s="8"/>
      <c r="K372" s="8" t="str">
        <f t="shared" si="3"/>
        <v>Pendente</v>
      </c>
      <c r="L372" s="8"/>
      <c r="M372" s="8" t="str">
        <f t="shared" si="4"/>
        <v/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8"/>
      <c r="B373" s="8"/>
      <c r="C373" s="8"/>
      <c r="D373" s="8"/>
      <c r="E373" s="8"/>
      <c r="F373" s="6"/>
      <c r="G373" s="7" t="str">
        <f t="shared" si="1"/>
        <v/>
      </c>
      <c r="H373" s="7">
        <f t="array" ref="H373">IFERROR(INDEX(Produtos!I:I,MATCH(C373&amp;D373,Produtos!B:B&amp;Produtos!C:C,0)),"")</f>
        <v>0</v>
      </c>
      <c r="I373" s="7" t="str">
        <f t="shared" si="5"/>
        <v/>
      </c>
      <c r="J373" s="8"/>
      <c r="K373" s="8" t="str">
        <f t="shared" si="3"/>
        <v>Pendente</v>
      </c>
      <c r="L373" s="8"/>
      <c r="M373" s="8" t="str">
        <f t="shared" si="4"/>
        <v/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8"/>
      <c r="B374" s="8"/>
      <c r="C374" s="8"/>
      <c r="D374" s="8"/>
      <c r="E374" s="8"/>
      <c r="F374" s="6"/>
      <c r="G374" s="7" t="str">
        <f t="shared" si="1"/>
        <v/>
      </c>
      <c r="H374" s="7">
        <f t="array" ref="H374">IFERROR(INDEX(Produtos!I:I,MATCH(C374&amp;D374,Produtos!B:B&amp;Produtos!C:C,0)),"")</f>
        <v>0</v>
      </c>
      <c r="I374" s="7" t="str">
        <f t="shared" si="5"/>
        <v/>
      </c>
      <c r="J374" s="8"/>
      <c r="K374" s="8" t="str">
        <f t="shared" si="3"/>
        <v>Pendente</v>
      </c>
      <c r="L374" s="8"/>
      <c r="M374" s="8" t="str">
        <f t="shared" si="4"/>
        <v/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8"/>
      <c r="B375" s="8"/>
      <c r="C375" s="8"/>
      <c r="D375" s="8"/>
      <c r="E375" s="8"/>
      <c r="F375" s="6"/>
      <c r="G375" s="7" t="str">
        <f t="shared" si="1"/>
        <v/>
      </c>
      <c r="H375" s="7">
        <f t="array" ref="H375">IFERROR(INDEX(Produtos!I:I,MATCH(C375&amp;D375,Produtos!B:B&amp;Produtos!C:C,0)),"")</f>
        <v>0</v>
      </c>
      <c r="I375" s="7" t="str">
        <f t="shared" si="5"/>
        <v/>
      </c>
      <c r="J375" s="8"/>
      <c r="K375" s="8" t="str">
        <f t="shared" si="3"/>
        <v>Pendente</v>
      </c>
      <c r="L375" s="8"/>
      <c r="M375" s="8" t="str">
        <f t="shared" si="4"/>
        <v/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8"/>
      <c r="B376" s="8"/>
      <c r="C376" s="8"/>
      <c r="D376" s="8"/>
      <c r="E376" s="8"/>
      <c r="F376" s="6"/>
      <c r="G376" s="7" t="str">
        <f t="shared" si="1"/>
        <v/>
      </c>
      <c r="H376" s="7">
        <f t="array" ref="H376">IFERROR(INDEX(Produtos!I:I,MATCH(C376&amp;D376,Produtos!B:B&amp;Produtos!C:C,0)),"")</f>
        <v>0</v>
      </c>
      <c r="I376" s="7" t="str">
        <f t="shared" si="5"/>
        <v/>
      </c>
      <c r="J376" s="8"/>
      <c r="K376" s="8" t="str">
        <f t="shared" si="3"/>
        <v>Pendente</v>
      </c>
      <c r="L376" s="8"/>
      <c r="M376" s="8" t="str">
        <f t="shared" si="4"/>
        <v/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8"/>
      <c r="B377" s="8"/>
      <c r="C377" s="8"/>
      <c r="D377" s="8"/>
      <c r="E377" s="8"/>
      <c r="F377" s="6"/>
      <c r="G377" s="7" t="str">
        <f t="shared" si="1"/>
        <v/>
      </c>
      <c r="H377" s="7">
        <f t="array" ref="H377">IFERROR(INDEX(Produtos!I:I,MATCH(C377&amp;D377,Produtos!B:B&amp;Produtos!C:C,0)),"")</f>
        <v>0</v>
      </c>
      <c r="I377" s="7" t="str">
        <f t="shared" si="5"/>
        <v/>
      </c>
      <c r="J377" s="8"/>
      <c r="K377" s="8" t="str">
        <f t="shared" si="3"/>
        <v>Pendente</v>
      </c>
      <c r="L377" s="8"/>
      <c r="M377" s="8" t="str">
        <f t="shared" si="4"/>
        <v/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8"/>
      <c r="B378" s="8"/>
      <c r="C378" s="8"/>
      <c r="D378" s="8"/>
      <c r="E378" s="8"/>
      <c r="F378" s="6"/>
      <c r="G378" s="7" t="str">
        <f t="shared" si="1"/>
        <v/>
      </c>
      <c r="H378" s="7">
        <f t="array" ref="H378">IFERROR(INDEX(Produtos!I:I,MATCH(C378&amp;D378,Produtos!B:B&amp;Produtos!C:C,0)),"")</f>
        <v>0</v>
      </c>
      <c r="I378" s="7" t="str">
        <f t="shared" si="5"/>
        <v/>
      </c>
      <c r="J378" s="8"/>
      <c r="K378" s="8" t="str">
        <f t="shared" si="3"/>
        <v>Pendente</v>
      </c>
      <c r="L378" s="8"/>
      <c r="M378" s="8" t="str">
        <f t="shared" si="4"/>
        <v/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8"/>
      <c r="B379" s="8"/>
      <c r="C379" s="8"/>
      <c r="D379" s="8"/>
      <c r="E379" s="8"/>
      <c r="F379" s="6"/>
      <c r="G379" s="7" t="str">
        <f t="shared" si="1"/>
        <v/>
      </c>
      <c r="H379" s="7">
        <f t="array" ref="H379">IFERROR(INDEX(Produtos!I:I,MATCH(C379&amp;D379,Produtos!B:B&amp;Produtos!C:C,0)),"")</f>
        <v>0</v>
      </c>
      <c r="I379" s="7" t="str">
        <f t="shared" si="5"/>
        <v/>
      </c>
      <c r="J379" s="8"/>
      <c r="K379" s="8" t="str">
        <f t="shared" si="3"/>
        <v>Pendente</v>
      </c>
      <c r="L379" s="8"/>
      <c r="M379" s="8" t="str">
        <f t="shared" si="4"/>
        <v/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8"/>
      <c r="B380" s="8"/>
      <c r="C380" s="8"/>
      <c r="D380" s="8"/>
      <c r="E380" s="8"/>
      <c r="F380" s="6"/>
      <c r="G380" s="7" t="str">
        <f t="shared" si="1"/>
        <v/>
      </c>
      <c r="H380" s="7">
        <f t="array" ref="H380">IFERROR(INDEX(Produtos!I:I,MATCH(C380&amp;D380,Produtos!B:B&amp;Produtos!C:C,0)),"")</f>
        <v>0</v>
      </c>
      <c r="I380" s="7" t="str">
        <f t="shared" si="5"/>
        <v/>
      </c>
      <c r="J380" s="8"/>
      <c r="K380" s="8" t="str">
        <f t="shared" si="3"/>
        <v>Pendente</v>
      </c>
      <c r="L380" s="8"/>
      <c r="M380" s="8" t="str">
        <f t="shared" si="4"/>
        <v/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8"/>
      <c r="B381" s="8"/>
      <c r="C381" s="8"/>
      <c r="D381" s="8"/>
      <c r="E381" s="8"/>
      <c r="F381" s="6"/>
      <c r="G381" s="7" t="str">
        <f t="shared" si="1"/>
        <v/>
      </c>
      <c r="H381" s="7">
        <f t="array" ref="H381">IFERROR(INDEX(Produtos!I:I,MATCH(C381&amp;D381,Produtos!B:B&amp;Produtos!C:C,0)),"")</f>
        <v>0</v>
      </c>
      <c r="I381" s="7" t="str">
        <f t="shared" si="5"/>
        <v/>
      </c>
      <c r="J381" s="8"/>
      <c r="K381" s="8" t="str">
        <f t="shared" si="3"/>
        <v>Pendente</v>
      </c>
      <c r="L381" s="8"/>
      <c r="M381" s="8" t="str">
        <f t="shared" si="4"/>
        <v/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8"/>
      <c r="B382" s="8"/>
      <c r="C382" s="8"/>
      <c r="D382" s="8"/>
      <c r="E382" s="8"/>
      <c r="F382" s="6"/>
      <c r="G382" s="7" t="str">
        <f t="shared" si="1"/>
        <v/>
      </c>
      <c r="H382" s="7">
        <f t="array" ref="H382">IFERROR(INDEX(Produtos!I:I,MATCH(C382&amp;D382,Produtos!B:B&amp;Produtos!C:C,0)),"")</f>
        <v>0</v>
      </c>
      <c r="I382" s="7" t="str">
        <f t="shared" si="5"/>
        <v/>
      </c>
      <c r="J382" s="8"/>
      <c r="K382" s="8" t="str">
        <f t="shared" si="3"/>
        <v>Pendente</v>
      </c>
      <c r="L382" s="8"/>
      <c r="M382" s="8" t="str">
        <f t="shared" si="4"/>
        <v/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8"/>
      <c r="B383" s="8"/>
      <c r="C383" s="8"/>
      <c r="D383" s="8"/>
      <c r="E383" s="8"/>
      <c r="F383" s="6"/>
      <c r="G383" s="7" t="str">
        <f t="shared" si="1"/>
        <v/>
      </c>
      <c r="H383" s="7">
        <f t="array" ref="H383">IFERROR(INDEX(Produtos!I:I,MATCH(C383&amp;D383,Produtos!B:B&amp;Produtos!C:C,0)),"")</f>
        <v>0</v>
      </c>
      <c r="I383" s="7" t="str">
        <f t="shared" si="5"/>
        <v/>
      </c>
      <c r="J383" s="8"/>
      <c r="K383" s="8" t="str">
        <f t="shared" si="3"/>
        <v>Pendente</v>
      </c>
      <c r="L383" s="8"/>
      <c r="M383" s="8" t="str">
        <f t="shared" si="4"/>
        <v/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8"/>
      <c r="B384" s="8"/>
      <c r="C384" s="8"/>
      <c r="D384" s="8"/>
      <c r="E384" s="8"/>
      <c r="F384" s="6"/>
      <c r="G384" s="7" t="str">
        <f t="shared" si="1"/>
        <v/>
      </c>
      <c r="H384" s="7">
        <f t="array" ref="H384">IFERROR(INDEX(Produtos!I:I,MATCH(C384&amp;D384,Produtos!B:B&amp;Produtos!C:C,0)),"")</f>
        <v>0</v>
      </c>
      <c r="I384" s="7" t="str">
        <f t="shared" si="5"/>
        <v/>
      </c>
      <c r="J384" s="8"/>
      <c r="K384" s="8" t="str">
        <f t="shared" si="3"/>
        <v>Pendente</v>
      </c>
      <c r="L384" s="8"/>
      <c r="M384" s="8" t="str">
        <f t="shared" si="4"/>
        <v/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8"/>
      <c r="B385" s="8"/>
      <c r="C385" s="8"/>
      <c r="D385" s="8"/>
      <c r="E385" s="8"/>
      <c r="F385" s="6"/>
      <c r="G385" s="7" t="str">
        <f t="shared" si="1"/>
        <v/>
      </c>
      <c r="H385" s="7">
        <f t="array" ref="H385">IFERROR(INDEX(Produtos!I:I,MATCH(C385&amp;D385,Produtos!B:B&amp;Produtos!C:C,0)),"")</f>
        <v>0</v>
      </c>
      <c r="I385" s="7" t="str">
        <f t="shared" si="5"/>
        <v/>
      </c>
      <c r="J385" s="8"/>
      <c r="K385" s="8" t="str">
        <f t="shared" si="3"/>
        <v>Pendente</v>
      </c>
      <c r="L385" s="8"/>
      <c r="M385" s="8" t="str">
        <f t="shared" si="4"/>
        <v/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8"/>
      <c r="B386" s="8"/>
      <c r="C386" s="8"/>
      <c r="D386" s="8"/>
      <c r="E386" s="8"/>
      <c r="F386" s="6"/>
      <c r="G386" s="7" t="str">
        <f t="shared" si="1"/>
        <v/>
      </c>
      <c r="H386" s="7">
        <f t="array" ref="H386">IFERROR(INDEX(Produtos!I:I,MATCH(C386&amp;D386,Produtos!B:B&amp;Produtos!C:C,0)),"")</f>
        <v>0</v>
      </c>
      <c r="I386" s="7" t="str">
        <f t="shared" si="5"/>
        <v/>
      </c>
      <c r="J386" s="8"/>
      <c r="K386" s="8" t="str">
        <f t="shared" si="3"/>
        <v>Pendente</v>
      </c>
      <c r="L386" s="8"/>
      <c r="M386" s="8" t="str">
        <f t="shared" si="4"/>
        <v/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8"/>
      <c r="B387" s="8"/>
      <c r="C387" s="8"/>
      <c r="D387" s="8"/>
      <c r="E387" s="8"/>
      <c r="F387" s="6"/>
      <c r="G387" s="7" t="str">
        <f t="shared" si="1"/>
        <v/>
      </c>
      <c r="H387" s="7">
        <f t="array" ref="H387">IFERROR(INDEX(Produtos!I:I,MATCH(C387&amp;D387,Produtos!B:B&amp;Produtos!C:C,0)),"")</f>
        <v>0</v>
      </c>
      <c r="I387" s="7" t="str">
        <f t="shared" si="5"/>
        <v/>
      </c>
      <c r="J387" s="8"/>
      <c r="K387" s="8" t="str">
        <f t="shared" si="3"/>
        <v>Pendente</v>
      </c>
      <c r="L387" s="8"/>
      <c r="M387" s="8" t="str">
        <f t="shared" si="4"/>
        <v/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8"/>
      <c r="B388" s="8"/>
      <c r="C388" s="8"/>
      <c r="D388" s="8"/>
      <c r="E388" s="8"/>
      <c r="F388" s="6"/>
      <c r="G388" s="7" t="str">
        <f t="shared" si="1"/>
        <v/>
      </c>
      <c r="H388" s="7">
        <f t="array" ref="H388">IFERROR(INDEX(Produtos!I:I,MATCH(C388&amp;D388,Produtos!B:B&amp;Produtos!C:C,0)),"")</f>
        <v>0</v>
      </c>
      <c r="I388" s="7" t="str">
        <f t="shared" si="5"/>
        <v/>
      </c>
      <c r="J388" s="8"/>
      <c r="K388" s="8" t="str">
        <f t="shared" si="3"/>
        <v>Pendente</v>
      </c>
      <c r="L388" s="8"/>
      <c r="M388" s="8" t="str">
        <f t="shared" si="4"/>
        <v/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8"/>
      <c r="B389" s="8"/>
      <c r="C389" s="8"/>
      <c r="D389" s="8"/>
      <c r="E389" s="8"/>
      <c r="F389" s="6"/>
      <c r="G389" s="7" t="str">
        <f t="shared" si="1"/>
        <v/>
      </c>
      <c r="H389" s="7">
        <f t="array" ref="H389">IFERROR(INDEX(Produtos!I:I,MATCH(C389&amp;D389,Produtos!B:B&amp;Produtos!C:C,0)),"")</f>
        <v>0</v>
      </c>
      <c r="I389" s="7" t="str">
        <f t="shared" si="5"/>
        <v/>
      </c>
      <c r="J389" s="8"/>
      <c r="K389" s="8" t="str">
        <f t="shared" si="3"/>
        <v>Pendente</v>
      </c>
      <c r="L389" s="8"/>
      <c r="M389" s="8" t="str">
        <f t="shared" si="4"/>
        <v/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8"/>
      <c r="B390" s="8"/>
      <c r="C390" s="8"/>
      <c r="D390" s="8"/>
      <c r="E390" s="8"/>
      <c r="F390" s="6"/>
      <c r="G390" s="7" t="str">
        <f t="shared" si="1"/>
        <v/>
      </c>
      <c r="H390" s="7">
        <f t="array" ref="H390">IFERROR(INDEX(Produtos!I:I,MATCH(C390&amp;D390,Produtos!B:B&amp;Produtos!C:C,0)),"")</f>
        <v>0</v>
      </c>
      <c r="I390" s="7" t="str">
        <f t="shared" si="5"/>
        <v/>
      </c>
      <c r="J390" s="8"/>
      <c r="K390" s="8" t="str">
        <f t="shared" si="3"/>
        <v>Pendente</v>
      </c>
      <c r="L390" s="8"/>
      <c r="M390" s="8" t="str">
        <f t="shared" si="4"/>
        <v/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8"/>
      <c r="B391" s="8"/>
      <c r="C391" s="8"/>
      <c r="D391" s="8"/>
      <c r="E391" s="8"/>
      <c r="F391" s="6"/>
      <c r="G391" s="7" t="str">
        <f t="shared" si="1"/>
        <v/>
      </c>
      <c r="H391" s="7">
        <f t="array" ref="H391">IFERROR(INDEX(Produtos!I:I,MATCH(C391&amp;D391,Produtos!B:B&amp;Produtos!C:C,0)),"")</f>
        <v>0</v>
      </c>
      <c r="I391" s="7" t="str">
        <f t="shared" si="5"/>
        <v/>
      </c>
      <c r="J391" s="8"/>
      <c r="K391" s="8" t="str">
        <f t="shared" si="3"/>
        <v>Pendente</v>
      </c>
      <c r="L391" s="8"/>
      <c r="M391" s="8" t="str">
        <f t="shared" si="4"/>
        <v/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8"/>
      <c r="B392" s="8"/>
      <c r="C392" s="8"/>
      <c r="D392" s="8"/>
      <c r="E392" s="8"/>
      <c r="F392" s="6"/>
      <c r="G392" s="7" t="str">
        <f t="shared" si="1"/>
        <v/>
      </c>
      <c r="H392" s="7">
        <f t="array" ref="H392">IFERROR(INDEX(Produtos!I:I,MATCH(C392&amp;D392,Produtos!B:B&amp;Produtos!C:C,0)),"")</f>
        <v>0</v>
      </c>
      <c r="I392" s="7" t="str">
        <f t="shared" si="5"/>
        <v/>
      </c>
      <c r="J392" s="8"/>
      <c r="K392" s="8" t="str">
        <f t="shared" si="3"/>
        <v>Pendente</v>
      </c>
      <c r="L392" s="8"/>
      <c r="M392" s="8" t="str">
        <f t="shared" si="4"/>
        <v/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8"/>
      <c r="B393" s="8"/>
      <c r="C393" s="8"/>
      <c r="D393" s="8"/>
      <c r="E393" s="8"/>
      <c r="F393" s="6"/>
      <c r="G393" s="7" t="str">
        <f t="shared" si="1"/>
        <v/>
      </c>
      <c r="H393" s="7">
        <f t="array" ref="H393">IFERROR(INDEX(Produtos!I:I,MATCH(C393&amp;D393,Produtos!B:B&amp;Produtos!C:C,0)),"")</f>
        <v>0</v>
      </c>
      <c r="I393" s="7" t="str">
        <f t="shared" si="5"/>
        <v/>
      </c>
      <c r="J393" s="8"/>
      <c r="K393" s="8" t="str">
        <f t="shared" si="3"/>
        <v>Pendente</v>
      </c>
      <c r="L393" s="8"/>
      <c r="M393" s="8" t="str">
        <f t="shared" si="4"/>
        <v/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8"/>
      <c r="B394" s="8"/>
      <c r="C394" s="8"/>
      <c r="D394" s="8"/>
      <c r="E394" s="8"/>
      <c r="F394" s="6"/>
      <c r="G394" s="7" t="str">
        <f t="shared" si="1"/>
        <v/>
      </c>
      <c r="H394" s="7">
        <f t="array" ref="H394">IFERROR(INDEX(Produtos!I:I,MATCH(C394&amp;D394,Produtos!B:B&amp;Produtos!C:C,0)),"")</f>
        <v>0</v>
      </c>
      <c r="I394" s="7" t="str">
        <f t="shared" si="5"/>
        <v/>
      </c>
      <c r="J394" s="8"/>
      <c r="K394" s="8" t="str">
        <f t="shared" si="3"/>
        <v>Pendente</v>
      </c>
      <c r="L394" s="8"/>
      <c r="M394" s="8" t="str">
        <f t="shared" si="4"/>
        <v/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8"/>
      <c r="B395" s="8"/>
      <c r="C395" s="8"/>
      <c r="D395" s="8"/>
      <c r="E395" s="8"/>
      <c r="F395" s="6"/>
      <c r="G395" s="7" t="str">
        <f t="shared" si="1"/>
        <v/>
      </c>
      <c r="H395" s="7">
        <f t="array" ref="H395">IFERROR(INDEX(Produtos!I:I,MATCH(C395&amp;D395,Produtos!B:B&amp;Produtos!C:C,0)),"")</f>
        <v>0</v>
      </c>
      <c r="I395" s="7" t="str">
        <f t="shared" si="5"/>
        <v/>
      </c>
      <c r="J395" s="8"/>
      <c r="K395" s="8" t="str">
        <f t="shared" si="3"/>
        <v>Pendente</v>
      </c>
      <c r="L395" s="8"/>
      <c r="M395" s="8" t="str">
        <f t="shared" si="4"/>
        <v/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8"/>
      <c r="B396" s="8"/>
      <c r="C396" s="8"/>
      <c r="D396" s="8"/>
      <c r="E396" s="8"/>
      <c r="F396" s="6"/>
      <c r="G396" s="7" t="str">
        <f t="shared" si="1"/>
        <v/>
      </c>
      <c r="H396" s="7">
        <f t="array" ref="H396">IFERROR(INDEX(Produtos!I:I,MATCH(C396&amp;D396,Produtos!B:B&amp;Produtos!C:C,0)),"")</f>
        <v>0</v>
      </c>
      <c r="I396" s="7" t="str">
        <f t="shared" si="5"/>
        <v/>
      </c>
      <c r="J396" s="8"/>
      <c r="K396" s="8" t="str">
        <f t="shared" si="3"/>
        <v>Pendente</v>
      </c>
      <c r="L396" s="8"/>
      <c r="M396" s="8" t="str">
        <f t="shared" si="4"/>
        <v/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8"/>
      <c r="B397" s="8"/>
      <c r="C397" s="8"/>
      <c r="D397" s="8"/>
      <c r="E397" s="8"/>
      <c r="F397" s="6"/>
      <c r="G397" s="7" t="str">
        <f t="shared" si="1"/>
        <v/>
      </c>
      <c r="H397" s="7">
        <f t="array" ref="H397">IFERROR(INDEX(Produtos!I:I,MATCH(C397&amp;D397,Produtos!B:B&amp;Produtos!C:C,0)),"")</f>
        <v>0</v>
      </c>
      <c r="I397" s="7" t="str">
        <f t="shared" si="5"/>
        <v/>
      </c>
      <c r="J397" s="8"/>
      <c r="K397" s="8" t="str">
        <f t="shared" si="3"/>
        <v>Pendente</v>
      </c>
      <c r="L397" s="8"/>
      <c r="M397" s="8" t="str">
        <f t="shared" si="4"/>
        <v/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8"/>
      <c r="B398" s="8"/>
      <c r="C398" s="8"/>
      <c r="D398" s="8"/>
      <c r="E398" s="8"/>
      <c r="F398" s="6"/>
      <c r="G398" s="7" t="str">
        <f t="shared" si="1"/>
        <v/>
      </c>
      <c r="H398" s="7">
        <f t="array" ref="H398">IFERROR(INDEX(Produtos!I:I,MATCH(C398&amp;D398,Produtos!B:B&amp;Produtos!C:C,0)),"")</f>
        <v>0</v>
      </c>
      <c r="I398" s="7" t="str">
        <f t="shared" si="5"/>
        <v/>
      </c>
      <c r="J398" s="8"/>
      <c r="K398" s="8" t="str">
        <f t="shared" si="3"/>
        <v>Pendente</v>
      </c>
      <c r="L398" s="8"/>
      <c r="M398" s="8" t="str">
        <f t="shared" si="4"/>
        <v/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8"/>
      <c r="B399" s="8"/>
      <c r="C399" s="8"/>
      <c r="D399" s="8"/>
      <c r="E399" s="8"/>
      <c r="F399" s="6"/>
      <c r="G399" s="7" t="str">
        <f t="shared" si="1"/>
        <v/>
      </c>
      <c r="H399" s="7">
        <f t="array" ref="H399">IFERROR(INDEX(Produtos!I:I,MATCH(C399&amp;D399,Produtos!B:B&amp;Produtos!C:C,0)),"")</f>
        <v>0</v>
      </c>
      <c r="I399" s="7" t="str">
        <f t="shared" si="5"/>
        <v/>
      </c>
      <c r="J399" s="8"/>
      <c r="K399" s="8" t="str">
        <f t="shared" si="3"/>
        <v>Pendente</v>
      </c>
      <c r="L399" s="8"/>
      <c r="M399" s="8" t="str">
        <f t="shared" si="4"/>
        <v/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8"/>
      <c r="B400" s="8"/>
      <c r="C400" s="8"/>
      <c r="D400" s="8"/>
      <c r="E400" s="8"/>
      <c r="F400" s="6"/>
      <c r="G400" s="7" t="str">
        <f t="shared" si="1"/>
        <v/>
      </c>
      <c r="H400" s="7">
        <f t="array" ref="H400">IFERROR(INDEX(Produtos!I:I,MATCH(C400&amp;D400,Produtos!B:B&amp;Produtos!C:C,0)),"")</f>
        <v>0</v>
      </c>
      <c r="I400" s="7" t="str">
        <f t="shared" si="5"/>
        <v/>
      </c>
      <c r="J400" s="8"/>
      <c r="K400" s="8" t="str">
        <f t="shared" si="3"/>
        <v>Pendente</v>
      </c>
      <c r="L400" s="8"/>
      <c r="M400" s="8" t="str">
        <f t="shared" si="4"/>
        <v/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8"/>
      <c r="B401" s="8"/>
      <c r="C401" s="8"/>
      <c r="D401" s="8"/>
      <c r="E401" s="8"/>
      <c r="F401" s="6"/>
      <c r="G401" s="7" t="str">
        <f t="shared" si="1"/>
        <v/>
      </c>
      <c r="H401" s="7">
        <f t="array" ref="H401">IFERROR(INDEX(Produtos!I:I,MATCH(C401&amp;D401,Produtos!B:B&amp;Produtos!C:C,0)),"")</f>
        <v>0</v>
      </c>
      <c r="I401" s="7" t="str">
        <f t="shared" si="5"/>
        <v/>
      </c>
      <c r="J401" s="8"/>
      <c r="K401" s="8" t="str">
        <f t="shared" si="3"/>
        <v>Pendente</v>
      </c>
      <c r="L401" s="8"/>
      <c r="M401" s="8" t="str">
        <f t="shared" si="4"/>
        <v/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10"/>
      <c r="G402" s="10"/>
      <c r="H402" s="10"/>
      <c r="I402" s="10"/>
      <c r="J402" s="9"/>
      <c r="K402" s="9"/>
      <c r="L402" s="8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10"/>
      <c r="G403" s="10"/>
      <c r="H403" s="10"/>
      <c r="I403" s="10"/>
      <c r="J403" s="9"/>
      <c r="K403" s="9"/>
      <c r="L403" s="8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10"/>
      <c r="G404" s="10"/>
      <c r="H404" s="10"/>
      <c r="I404" s="10"/>
      <c r="J404" s="9"/>
      <c r="K404" s="9"/>
      <c r="L404" s="8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10"/>
      <c r="G405" s="10"/>
      <c r="H405" s="10"/>
      <c r="I405" s="10"/>
      <c r="J405" s="9"/>
      <c r="K405" s="9"/>
      <c r="L405" s="8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10"/>
      <c r="G406" s="10"/>
      <c r="H406" s="10"/>
      <c r="I406" s="10"/>
      <c r="J406" s="9"/>
      <c r="K406" s="9"/>
      <c r="L406" s="8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10"/>
      <c r="G407" s="10"/>
      <c r="H407" s="10"/>
      <c r="I407" s="10"/>
      <c r="J407" s="9"/>
      <c r="K407" s="9"/>
      <c r="L407" s="8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10"/>
      <c r="G408" s="10"/>
      <c r="H408" s="10"/>
      <c r="I408" s="10"/>
      <c r="J408" s="9"/>
      <c r="K408" s="9"/>
      <c r="L408" s="8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10"/>
      <c r="G409" s="10"/>
      <c r="H409" s="10"/>
      <c r="I409" s="10"/>
      <c r="J409" s="9"/>
      <c r="K409" s="9"/>
      <c r="L409" s="8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10"/>
      <c r="G410" s="10"/>
      <c r="H410" s="10"/>
      <c r="I410" s="10"/>
      <c r="J410" s="9"/>
      <c r="K410" s="9"/>
      <c r="L410" s="8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10"/>
      <c r="G411" s="10"/>
      <c r="H411" s="10"/>
      <c r="I411" s="10"/>
      <c r="J411" s="9"/>
      <c r="K411" s="9"/>
      <c r="L411" s="8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10"/>
      <c r="G412" s="10"/>
      <c r="H412" s="10"/>
      <c r="I412" s="10"/>
      <c r="J412" s="9"/>
      <c r="K412" s="9"/>
      <c r="L412" s="8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10"/>
      <c r="G413" s="10"/>
      <c r="H413" s="10"/>
      <c r="I413" s="10"/>
      <c r="J413" s="9"/>
      <c r="K413" s="9"/>
      <c r="L413" s="8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10"/>
      <c r="G414" s="10"/>
      <c r="H414" s="10"/>
      <c r="I414" s="10"/>
      <c r="J414" s="9"/>
      <c r="K414" s="9"/>
      <c r="L414" s="8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10"/>
      <c r="G415" s="10"/>
      <c r="H415" s="10"/>
      <c r="I415" s="10"/>
      <c r="J415" s="9"/>
      <c r="K415" s="9"/>
      <c r="L415" s="8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10"/>
      <c r="G416" s="10"/>
      <c r="H416" s="10"/>
      <c r="I416" s="10"/>
      <c r="J416" s="9"/>
      <c r="K416" s="9"/>
      <c r="L416" s="8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10"/>
      <c r="G417" s="10"/>
      <c r="H417" s="10"/>
      <c r="I417" s="10"/>
      <c r="J417" s="9"/>
      <c r="K417" s="9"/>
      <c r="L417" s="8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10"/>
      <c r="G418" s="10"/>
      <c r="H418" s="10"/>
      <c r="I418" s="10"/>
      <c r="J418" s="9"/>
      <c r="K418" s="9"/>
      <c r="L418" s="8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10"/>
      <c r="G419" s="10"/>
      <c r="H419" s="10"/>
      <c r="I419" s="10"/>
      <c r="J419" s="9"/>
      <c r="K419" s="9"/>
      <c r="L419" s="8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10"/>
      <c r="G420" s="10"/>
      <c r="H420" s="10"/>
      <c r="I420" s="10"/>
      <c r="J420" s="9"/>
      <c r="K420" s="9"/>
      <c r="L420" s="8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10"/>
      <c r="G421" s="10"/>
      <c r="H421" s="10"/>
      <c r="I421" s="10"/>
      <c r="J421" s="9"/>
      <c r="K421" s="9"/>
      <c r="L421" s="8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10"/>
      <c r="G422" s="10"/>
      <c r="H422" s="10"/>
      <c r="I422" s="10"/>
      <c r="J422" s="9"/>
      <c r="K422" s="9"/>
      <c r="L422" s="8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10"/>
      <c r="G423" s="10"/>
      <c r="H423" s="10"/>
      <c r="I423" s="10"/>
      <c r="J423" s="9"/>
      <c r="K423" s="9"/>
      <c r="L423" s="8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10"/>
      <c r="G424" s="10"/>
      <c r="H424" s="10"/>
      <c r="I424" s="10"/>
      <c r="J424" s="9"/>
      <c r="K424" s="9"/>
      <c r="L424" s="8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10"/>
      <c r="G425" s="10"/>
      <c r="H425" s="10"/>
      <c r="I425" s="10"/>
      <c r="J425" s="9"/>
      <c r="K425" s="9"/>
      <c r="L425" s="8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10"/>
      <c r="G426" s="10"/>
      <c r="H426" s="10"/>
      <c r="I426" s="10"/>
      <c r="J426" s="9"/>
      <c r="K426" s="9"/>
      <c r="L426" s="8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10"/>
      <c r="G427" s="10"/>
      <c r="H427" s="10"/>
      <c r="I427" s="10"/>
      <c r="J427" s="9"/>
      <c r="K427" s="9"/>
      <c r="L427" s="8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10"/>
      <c r="G428" s="10"/>
      <c r="H428" s="10"/>
      <c r="I428" s="10"/>
      <c r="J428" s="9"/>
      <c r="K428" s="9"/>
      <c r="L428" s="8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10"/>
      <c r="G429" s="10"/>
      <c r="H429" s="10"/>
      <c r="I429" s="10"/>
      <c r="J429" s="9"/>
      <c r="K429" s="9"/>
      <c r="L429" s="8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10"/>
      <c r="G430" s="10"/>
      <c r="H430" s="10"/>
      <c r="I430" s="10"/>
      <c r="J430" s="9"/>
      <c r="K430" s="9"/>
      <c r="L430" s="8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10"/>
      <c r="G431" s="10"/>
      <c r="H431" s="10"/>
      <c r="I431" s="10"/>
      <c r="J431" s="9"/>
      <c r="K431" s="9"/>
      <c r="L431" s="8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10"/>
      <c r="G432" s="10"/>
      <c r="H432" s="10"/>
      <c r="I432" s="10"/>
      <c r="J432" s="9"/>
      <c r="K432" s="9"/>
      <c r="L432" s="8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10"/>
      <c r="G433" s="10"/>
      <c r="H433" s="10"/>
      <c r="I433" s="10"/>
      <c r="J433" s="9"/>
      <c r="K433" s="9"/>
      <c r="L433" s="8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10"/>
      <c r="G434" s="10"/>
      <c r="H434" s="10"/>
      <c r="I434" s="10"/>
      <c r="J434" s="9"/>
      <c r="K434" s="9"/>
      <c r="L434" s="8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10"/>
      <c r="G435" s="10"/>
      <c r="H435" s="10"/>
      <c r="I435" s="10"/>
      <c r="J435" s="9"/>
      <c r="K435" s="9"/>
      <c r="L435" s="8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10"/>
      <c r="G436" s="10"/>
      <c r="H436" s="10"/>
      <c r="I436" s="10"/>
      <c r="J436" s="9"/>
      <c r="K436" s="9"/>
      <c r="L436" s="8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10"/>
      <c r="G437" s="10"/>
      <c r="H437" s="10"/>
      <c r="I437" s="10"/>
      <c r="J437" s="9"/>
      <c r="K437" s="9"/>
      <c r="L437" s="8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10"/>
      <c r="G438" s="10"/>
      <c r="H438" s="10"/>
      <c r="I438" s="10"/>
      <c r="J438" s="9"/>
      <c r="K438" s="9"/>
      <c r="L438" s="8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10"/>
      <c r="G439" s="10"/>
      <c r="H439" s="10"/>
      <c r="I439" s="10"/>
      <c r="J439" s="9"/>
      <c r="K439" s="9"/>
      <c r="L439" s="8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10"/>
      <c r="G440" s="10"/>
      <c r="H440" s="10"/>
      <c r="I440" s="10"/>
      <c r="J440" s="9"/>
      <c r="K440" s="9"/>
      <c r="L440" s="8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10"/>
      <c r="G441" s="10"/>
      <c r="H441" s="10"/>
      <c r="I441" s="10"/>
      <c r="J441" s="9"/>
      <c r="K441" s="9"/>
      <c r="L441" s="8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10"/>
      <c r="G442" s="10"/>
      <c r="H442" s="10"/>
      <c r="I442" s="10"/>
      <c r="J442" s="9"/>
      <c r="K442" s="9"/>
      <c r="L442" s="8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10"/>
      <c r="G443" s="10"/>
      <c r="H443" s="10"/>
      <c r="I443" s="10"/>
      <c r="J443" s="9"/>
      <c r="K443" s="9"/>
      <c r="L443" s="8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10"/>
      <c r="G444" s="10"/>
      <c r="H444" s="10"/>
      <c r="I444" s="10"/>
      <c r="J444" s="9"/>
      <c r="K444" s="9"/>
      <c r="L444" s="8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10"/>
      <c r="G445" s="10"/>
      <c r="H445" s="10"/>
      <c r="I445" s="10"/>
      <c r="J445" s="9"/>
      <c r="K445" s="9"/>
      <c r="L445" s="8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10"/>
      <c r="G446" s="10"/>
      <c r="H446" s="10"/>
      <c r="I446" s="10"/>
      <c r="J446" s="9"/>
      <c r="K446" s="9"/>
      <c r="L446" s="8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10"/>
      <c r="G447" s="10"/>
      <c r="H447" s="10"/>
      <c r="I447" s="10"/>
      <c r="J447" s="9"/>
      <c r="K447" s="9"/>
      <c r="L447" s="8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10"/>
      <c r="G448" s="10"/>
      <c r="H448" s="10"/>
      <c r="I448" s="10"/>
      <c r="J448" s="9"/>
      <c r="K448" s="9"/>
      <c r="L448" s="8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10"/>
      <c r="G449" s="10"/>
      <c r="H449" s="10"/>
      <c r="I449" s="10"/>
      <c r="J449" s="9"/>
      <c r="K449" s="9"/>
      <c r="L449" s="8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10"/>
      <c r="G450" s="10"/>
      <c r="H450" s="10"/>
      <c r="I450" s="10"/>
      <c r="J450" s="9"/>
      <c r="K450" s="9"/>
      <c r="L450" s="8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10"/>
      <c r="G451" s="10"/>
      <c r="H451" s="10"/>
      <c r="I451" s="10"/>
      <c r="J451" s="9"/>
      <c r="K451" s="9"/>
      <c r="L451" s="8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10"/>
      <c r="G452" s="10"/>
      <c r="H452" s="10"/>
      <c r="I452" s="10"/>
      <c r="J452" s="9"/>
      <c r="K452" s="9"/>
      <c r="L452" s="8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10"/>
      <c r="G453" s="10"/>
      <c r="H453" s="10"/>
      <c r="I453" s="10"/>
      <c r="J453" s="9"/>
      <c r="K453" s="9"/>
      <c r="L453" s="8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10"/>
      <c r="G454" s="10"/>
      <c r="H454" s="10"/>
      <c r="I454" s="10"/>
      <c r="J454" s="9"/>
      <c r="K454" s="9"/>
      <c r="L454" s="8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10"/>
      <c r="G455" s="10"/>
      <c r="H455" s="10"/>
      <c r="I455" s="10"/>
      <c r="J455" s="9"/>
      <c r="K455" s="9"/>
      <c r="L455" s="8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10"/>
      <c r="G456" s="10"/>
      <c r="H456" s="10"/>
      <c r="I456" s="10"/>
      <c r="J456" s="9"/>
      <c r="K456" s="9"/>
      <c r="L456" s="8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10"/>
      <c r="G457" s="10"/>
      <c r="H457" s="10"/>
      <c r="I457" s="10"/>
      <c r="J457" s="9"/>
      <c r="K457" s="9"/>
      <c r="L457" s="8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10"/>
      <c r="G458" s="10"/>
      <c r="H458" s="10"/>
      <c r="I458" s="10"/>
      <c r="J458" s="9"/>
      <c r="K458" s="9"/>
      <c r="L458" s="8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10"/>
      <c r="G459" s="10"/>
      <c r="H459" s="10"/>
      <c r="I459" s="10"/>
      <c r="J459" s="9"/>
      <c r="K459" s="9"/>
      <c r="L459" s="8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10"/>
      <c r="G460" s="10"/>
      <c r="H460" s="10"/>
      <c r="I460" s="10"/>
      <c r="J460" s="9"/>
      <c r="K460" s="9"/>
      <c r="L460" s="8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10"/>
      <c r="G461" s="10"/>
      <c r="H461" s="10"/>
      <c r="I461" s="10"/>
      <c r="J461" s="9"/>
      <c r="K461" s="9"/>
      <c r="L461" s="8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10"/>
      <c r="G462" s="10"/>
      <c r="H462" s="10"/>
      <c r="I462" s="10"/>
      <c r="J462" s="9"/>
      <c r="K462" s="9"/>
      <c r="L462" s="8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10"/>
      <c r="G463" s="10"/>
      <c r="H463" s="10"/>
      <c r="I463" s="10"/>
      <c r="J463" s="9"/>
      <c r="K463" s="9"/>
      <c r="L463" s="8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10"/>
      <c r="G464" s="10"/>
      <c r="H464" s="10"/>
      <c r="I464" s="10"/>
      <c r="J464" s="9"/>
      <c r="K464" s="9"/>
      <c r="L464" s="8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10"/>
      <c r="G465" s="10"/>
      <c r="H465" s="10"/>
      <c r="I465" s="10"/>
      <c r="J465" s="9"/>
      <c r="K465" s="9"/>
      <c r="L465" s="8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10"/>
      <c r="G466" s="10"/>
      <c r="H466" s="10"/>
      <c r="I466" s="10"/>
      <c r="J466" s="9"/>
      <c r="K466" s="9"/>
      <c r="L466" s="8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10"/>
      <c r="G467" s="10"/>
      <c r="H467" s="10"/>
      <c r="I467" s="10"/>
      <c r="J467" s="9"/>
      <c r="K467" s="9"/>
      <c r="L467" s="8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10"/>
      <c r="G468" s="10"/>
      <c r="H468" s="10"/>
      <c r="I468" s="10"/>
      <c r="J468" s="9"/>
      <c r="K468" s="9"/>
      <c r="L468" s="8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10"/>
      <c r="G469" s="10"/>
      <c r="H469" s="10"/>
      <c r="I469" s="10"/>
      <c r="J469" s="9"/>
      <c r="K469" s="9"/>
      <c r="L469" s="8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10"/>
      <c r="G470" s="10"/>
      <c r="H470" s="10"/>
      <c r="I470" s="10"/>
      <c r="J470" s="9"/>
      <c r="K470" s="9"/>
      <c r="L470" s="8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10"/>
      <c r="G471" s="10"/>
      <c r="H471" s="10"/>
      <c r="I471" s="10"/>
      <c r="J471" s="9"/>
      <c r="K471" s="9"/>
      <c r="L471" s="8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10"/>
      <c r="G472" s="10"/>
      <c r="H472" s="10"/>
      <c r="I472" s="10"/>
      <c r="J472" s="9"/>
      <c r="K472" s="9"/>
      <c r="L472" s="8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10"/>
      <c r="G473" s="10"/>
      <c r="H473" s="10"/>
      <c r="I473" s="10"/>
      <c r="J473" s="9"/>
      <c r="K473" s="9"/>
      <c r="L473" s="8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10"/>
      <c r="G474" s="10"/>
      <c r="H474" s="10"/>
      <c r="I474" s="10"/>
      <c r="J474" s="9"/>
      <c r="K474" s="9"/>
      <c r="L474" s="8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10"/>
      <c r="G475" s="10"/>
      <c r="H475" s="10"/>
      <c r="I475" s="10"/>
      <c r="J475" s="9"/>
      <c r="K475" s="9"/>
      <c r="L475" s="8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10"/>
      <c r="G476" s="10"/>
      <c r="H476" s="10"/>
      <c r="I476" s="10"/>
      <c r="J476" s="9"/>
      <c r="K476" s="9"/>
      <c r="L476" s="8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10"/>
      <c r="G477" s="10"/>
      <c r="H477" s="10"/>
      <c r="I477" s="10"/>
      <c r="J477" s="9"/>
      <c r="K477" s="9"/>
      <c r="L477" s="8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10"/>
      <c r="G478" s="10"/>
      <c r="H478" s="10"/>
      <c r="I478" s="10"/>
      <c r="J478" s="9"/>
      <c r="K478" s="9"/>
      <c r="L478" s="8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10"/>
      <c r="G479" s="10"/>
      <c r="H479" s="10"/>
      <c r="I479" s="10"/>
      <c r="J479" s="9"/>
      <c r="K479" s="9"/>
      <c r="L479" s="8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10"/>
      <c r="G480" s="10"/>
      <c r="H480" s="10"/>
      <c r="I480" s="10"/>
      <c r="J480" s="9"/>
      <c r="K480" s="9"/>
      <c r="L480" s="8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10"/>
      <c r="G481" s="10"/>
      <c r="H481" s="10"/>
      <c r="I481" s="10"/>
      <c r="J481" s="9"/>
      <c r="K481" s="9"/>
      <c r="L481" s="8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10"/>
      <c r="G482" s="10"/>
      <c r="H482" s="10"/>
      <c r="I482" s="10"/>
      <c r="J482" s="9"/>
      <c r="K482" s="9"/>
      <c r="L482" s="8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10"/>
      <c r="G483" s="10"/>
      <c r="H483" s="10"/>
      <c r="I483" s="10"/>
      <c r="J483" s="9"/>
      <c r="K483" s="9"/>
      <c r="L483" s="8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10"/>
      <c r="G484" s="10"/>
      <c r="H484" s="10"/>
      <c r="I484" s="10"/>
      <c r="J484" s="9"/>
      <c r="K484" s="9"/>
      <c r="L484" s="8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10"/>
      <c r="G485" s="10"/>
      <c r="H485" s="10"/>
      <c r="I485" s="10"/>
      <c r="J485" s="9"/>
      <c r="K485" s="9"/>
      <c r="L485" s="8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10"/>
      <c r="G486" s="10"/>
      <c r="H486" s="10"/>
      <c r="I486" s="10"/>
      <c r="J486" s="9"/>
      <c r="K486" s="9"/>
      <c r="L486" s="8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10"/>
      <c r="G487" s="10"/>
      <c r="H487" s="10"/>
      <c r="I487" s="10"/>
      <c r="J487" s="9"/>
      <c r="K487" s="9"/>
      <c r="L487" s="8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10"/>
      <c r="G488" s="10"/>
      <c r="H488" s="10"/>
      <c r="I488" s="10"/>
      <c r="J488" s="9"/>
      <c r="K488" s="9"/>
      <c r="L488" s="8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10"/>
      <c r="G489" s="10"/>
      <c r="H489" s="10"/>
      <c r="I489" s="10"/>
      <c r="J489" s="9"/>
      <c r="K489" s="9"/>
      <c r="L489" s="8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10"/>
      <c r="G490" s="10"/>
      <c r="H490" s="10"/>
      <c r="I490" s="10"/>
      <c r="J490" s="9"/>
      <c r="K490" s="9"/>
      <c r="L490" s="8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10"/>
      <c r="G491" s="10"/>
      <c r="H491" s="10"/>
      <c r="I491" s="10"/>
      <c r="J491" s="9"/>
      <c r="K491" s="9"/>
      <c r="L491" s="8"/>
      <c r="M491" s="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10"/>
      <c r="G492" s="10"/>
      <c r="H492" s="10"/>
      <c r="I492" s="10"/>
      <c r="J492" s="9"/>
      <c r="K492" s="9"/>
      <c r="L492" s="8"/>
      <c r="M492" s="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10"/>
      <c r="G493" s="10"/>
      <c r="H493" s="10"/>
      <c r="I493" s="10"/>
      <c r="J493" s="9"/>
      <c r="K493" s="9"/>
      <c r="L493" s="8"/>
      <c r="M493" s="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10"/>
      <c r="G494" s="10"/>
      <c r="H494" s="10"/>
      <c r="I494" s="10"/>
      <c r="J494" s="9"/>
      <c r="K494" s="9"/>
      <c r="L494" s="8"/>
      <c r="M494" s="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10"/>
      <c r="G495" s="10"/>
      <c r="H495" s="10"/>
      <c r="I495" s="10"/>
      <c r="J495" s="9"/>
      <c r="K495" s="9"/>
      <c r="L495" s="8"/>
      <c r="M495" s="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10"/>
      <c r="G496" s="10"/>
      <c r="H496" s="10"/>
      <c r="I496" s="10"/>
      <c r="J496" s="9"/>
      <c r="K496" s="9"/>
      <c r="L496" s="8"/>
      <c r="M496" s="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10"/>
      <c r="G497" s="10"/>
      <c r="H497" s="10"/>
      <c r="I497" s="10"/>
      <c r="J497" s="9"/>
      <c r="K497" s="9"/>
      <c r="L497" s="8"/>
      <c r="M497" s="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10"/>
      <c r="G498" s="10"/>
      <c r="H498" s="10"/>
      <c r="I498" s="10"/>
      <c r="J498" s="9"/>
      <c r="K498" s="9"/>
      <c r="L498" s="8"/>
      <c r="M498" s="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10"/>
      <c r="G499" s="10"/>
      <c r="H499" s="10"/>
      <c r="I499" s="10"/>
      <c r="J499" s="9"/>
      <c r="K499" s="9"/>
      <c r="L499" s="8"/>
      <c r="M499" s="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10"/>
      <c r="G500" s="10"/>
      <c r="H500" s="10"/>
      <c r="I500" s="10"/>
      <c r="J500" s="9"/>
      <c r="K500" s="9"/>
      <c r="L500" s="8"/>
      <c r="M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10"/>
      <c r="G501" s="10"/>
      <c r="H501" s="10"/>
      <c r="I501" s="10"/>
      <c r="J501" s="9"/>
      <c r="K501" s="9"/>
      <c r="L501" s="8"/>
      <c r="M501" s="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10"/>
      <c r="G502" s="10"/>
      <c r="H502" s="10"/>
      <c r="I502" s="10"/>
      <c r="J502" s="9"/>
      <c r="K502" s="9"/>
      <c r="L502" s="8"/>
      <c r="M502" s="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10"/>
      <c r="G503" s="10"/>
      <c r="H503" s="10"/>
      <c r="I503" s="10"/>
      <c r="J503" s="9"/>
      <c r="K503" s="9"/>
      <c r="L503" s="8"/>
      <c r="M503" s="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10"/>
      <c r="G504" s="10"/>
      <c r="H504" s="10"/>
      <c r="I504" s="10"/>
      <c r="J504" s="9"/>
      <c r="K504" s="9"/>
      <c r="L504" s="8"/>
      <c r="M504" s="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10"/>
      <c r="G505" s="10"/>
      <c r="H505" s="10"/>
      <c r="I505" s="10"/>
      <c r="J505" s="9"/>
      <c r="K505" s="9"/>
      <c r="L505" s="8"/>
      <c r="M505" s="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10"/>
      <c r="G506" s="10"/>
      <c r="H506" s="10"/>
      <c r="I506" s="10"/>
      <c r="J506" s="9"/>
      <c r="K506" s="9"/>
      <c r="L506" s="8"/>
      <c r="M506" s="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10"/>
      <c r="G507" s="10"/>
      <c r="H507" s="10"/>
      <c r="I507" s="10"/>
      <c r="J507" s="9"/>
      <c r="K507" s="9"/>
      <c r="L507" s="8"/>
      <c r="M507" s="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10"/>
      <c r="G508" s="10"/>
      <c r="H508" s="10"/>
      <c r="I508" s="10"/>
      <c r="J508" s="9"/>
      <c r="K508" s="9"/>
      <c r="L508" s="8"/>
      <c r="M508" s="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10"/>
      <c r="G509" s="10"/>
      <c r="H509" s="10"/>
      <c r="I509" s="10"/>
      <c r="J509" s="9"/>
      <c r="K509" s="9"/>
      <c r="L509" s="8"/>
      <c r="M509" s="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10"/>
      <c r="G510" s="10"/>
      <c r="H510" s="10"/>
      <c r="I510" s="10"/>
      <c r="J510" s="9"/>
      <c r="K510" s="9"/>
      <c r="L510" s="8"/>
      <c r="M510" s="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10"/>
      <c r="G511" s="10"/>
      <c r="H511" s="10"/>
      <c r="I511" s="10"/>
      <c r="J511" s="9"/>
      <c r="K511" s="9"/>
      <c r="L511" s="8"/>
      <c r="M511" s="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10"/>
      <c r="G512" s="10"/>
      <c r="H512" s="10"/>
      <c r="I512" s="10"/>
      <c r="J512" s="9"/>
      <c r="K512" s="9"/>
      <c r="L512" s="8"/>
      <c r="M512" s="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10"/>
      <c r="G513" s="10"/>
      <c r="H513" s="10"/>
      <c r="I513" s="10"/>
      <c r="J513" s="9"/>
      <c r="K513" s="9"/>
      <c r="L513" s="8"/>
      <c r="M513" s="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10"/>
      <c r="G514" s="10"/>
      <c r="H514" s="10"/>
      <c r="I514" s="10"/>
      <c r="J514" s="9"/>
      <c r="K514" s="9"/>
      <c r="L514" s="8"/>
      <c r="M514" s="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10"/>
      <c r="G515" s="10"/>
      <c r="H515" s="10"/>
      <c r="I515" s="10"/>
      <c r="J515" s="9"/>
      <c r="K515" s="9"/>
      <c r="L515" s="8"/>
      <c r="M515" s="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10"/>
      <c r="G516" s="10"/>
      <c r="H516" s="10"/>
      <c r="I516" s="10"/>
      <c r="J516" s="9"/>
      <c r="K516" s="9"/>
      <c r="L516" s="8"/>
      <c r="M516" s="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10"/>
      <c r="G517" s="10"/>
      <c r="H517" s="10"/>
      <c r="I517" s="10"/>
      <c r="J517" s="9"/>
      <c r="K517" s="9"/>
      <c r="L517" s="8"/>
      <c r="M517" s="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10"/>
      <c r="G518" s="10"/>
      <c r="H518" s="10"/>
      <c r="I518" s="10"/>
      <c r="J518" s="9"/>
      <c r="K518" s="9"/>
      <c r="L518" s="8"/>
      <c r="M518" s="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10"/>
      <c r="G519" s="10"/>
      <c r="H519" s="10"/>
      <c r="I519" s="10"/>
      <c r="J519" s="9"/>
      <c r="K519" s="9"/>
      <c r="L519" s="8"/>
      <c r="M519" s="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10"/>
      <c r="G520" s="10"/>
      <c r="H520" s="10"/>
      <c r="I520" s="10"/>
      <c r="J520" s="9"/>
      <c r="K520" s="9"/>
      <c r="L520" s="8"/>
      <c r="M520" s="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10"/>
      <c r="G521" s="10"/>
      <c r="H521" s="10"/>
      <c r="I521" s="10"/>
      <c r="J521" s="9"/>
      <c r="K521" s="9"/>
      <c r="L521" s="8"/>
      <c r="M521" s="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10"/>
      <c r="G522" s="10"/>
      <c r="H522" s="10"/>
      <c r="I522" s="10"/>
      <c r="J522" s="9"/>
      <c r="K522" s="9"/>
      <c r="L522" s="8"/>
      <c r="M522" s="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10"/>
      <c r="G523" s="10"/>
      <c r="H523" s="10"/>
      <c r="I523" s="10"/>
      <c r="J523" s="9"/>
      <c r="K523" s="9"/>
      <c r="L523" s="8"/>
      <c r="M523" s="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10"/>
      <c r="G524" s="10"/>
      <c r="H524" s="10"/>
      <c r="I524" s="10"/>
      <c r="J524" s="9"/>
      <c r="K524" s="9"/>
      <c r="L524" s="8"/>
      <c r="M524" s="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10"/>
      <c r="G525" s="10"/>
      <c r="H525" s="10"/>
      <c r="I525" s="10"/>
      <c r="J525" s="9"/>
      <c r="K525" s="9"/>
      <c r="L525" s="8"/>
      <c r="M525" s="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10"/>
      <c r="G526" s="10"/>
      <c r="H526" s="10"/>
      <c r="I526" s="10"/>
      <c r="J526" s="9"/>
      <c r="K526" s="9"/>
      <c r="L526" s="8"/>
      <c r="M526" s="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10"/>
      <c r="G527" s="10"/>
      <c r="H527" s="10"/>
      <c r="I527" s="10"/>
      <c r="J527" s="9"/>
      <c r="K527" s="9"/>
      <c r="L527" s="8"/>
      <c r="M527" s="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10"/>
      <c r="G528" s="10"/>
      <c r="H528" s="10"/>
      <c r="I528" s="10"/>
      <c r="J528" s="9"/>
      <c r="K528" s="9"/>
      <c r="L528" s="8"/>
      <c r="M528" s="8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10"/>
      <c r="G529" s="10"/>
      <c r="H529" s="10"/>
      <c r="I529" s="10"/>
      <c r="J529" s="9"/>
      <c r="K529" s="9"/>
      <c r="L529" s="8"/>
      <c r="M529" s="8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10"/>
      <c r="G530" s="10"/>
      <c r="H530" s="10"/>
      <c r="I530" s="10"/>
      <c r="J530" s="9"/>
      <c r="K530" s="9"/>
      <c r="L530" s="8"/>
      <c r="M530" s="8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10"/>
      <c r="G531" s="10"/>
      <c r="H531" s="10"/>
      <c r="I531" s="10"/>
      <c r="J531" s="9"/>
      <c r="K531" s="9"/>
      <c r="L531" s="8"/>
      <c r="M531" s="8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10"/>
      <c r="G532" s="10"/>
      <c r="H532" s="10"/>
      <c r="I532" s="10"/>
      <c r="J532" s="9"/>
      <c r="K532" s="9"/>
      <c r="L532" s="8"/>
      <c r="M532" s="8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10"/>
      <c r="G533" s="10"/>
      <c r="H533" s="10"/>
      <c r="I533" s="10"/>
      <c r="J533" s="9"/>
      <c r="K533" s="9"/>
      <c r="L533" s="8"/>
      <c r="M533" s="8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10"/>
      <c r="G534" s="10"/>
      <c r="H534" s="10"/>
      <c r="I534" s="10"/>
      <c r="J534" s="9"/>
      <c r="K534" s="9"/>
      <c r="L534" s="8"/>
      <c r="M534" s="8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10"/>
      <c r="G535" s="10"/>
      <c r="H535" s="10"/>
      <c r="I535" s="10"/>
      <c r="J535" s="9"/>
      <c r="K535" s="9"/>
      <c r="L535" s="8"/>
      <c r="M535" s="8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10"/>
      <c r="G536" s="10"/>
      <c r="H536" s="10"/>
      <c r="I536" s="10"/>
      <c r="J536" s="9"/>
      <c r="K536" s="9"/>
      <c r="L536" s="8"/>
      <c r="M536" s="8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10"/>
      <c r="G537" s="10"/>
      <c r="H537" s="10"/>
      <c r="I537" s="10"/>
      <c r="J537" s="9"/>
      <c r="K537" s="9"/>
      <c r="L537" s="8"/>
      <c r="M537" s="8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10"/>
      <c r="G538" s="10"/>
      <c r="H538" s="10"/>
      <c r="I538" s="10"/>
      <c r="J538" s="9"/>
      <c r="K538" s="9"/>
      <c r="L538" s="8"/>
      <c r="M538" s="8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10"/>
      <c r="G539" s="10"/>
      <c r="H539" s="10"/>
      <c r="I539" s="10"/>
      <c r="J539" s="9"/>
      <c r="K539" s="9"/>
      <c r="L539" s="8"/>
      <c r="M539" s="8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10"/>
      <c r="G540" s="10"/>
      <c r="H540" s="10"/>
      <c r="I540" s="10"/>
      <c r="J540" s="9"/>
      <c r="K540" s="9"/>
      <c r="L540" s="8"/>
      <c r="M540" s="8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10"/>
      <c r="G541" s="10"/>
      <c r="H541" s="10"/>
      <c r="I541" s="10"/>
      <c r="J541" s="9"/>
      <c r="K541" s="9"/>
      <c r="L541" s="8"/>
      <c r="M541" s="8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10"/>
      <c r="G542" s="10"/>
      <c r="H542" s="10"/>
      <c r="I542" s="10"/>
      <c r="J542" s="9"/>
      <c r="K542" s="9"/>
      <c r="L542" s="8"/>
      <c r="M542" s="8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10"/>
      <c r="G543" s="10"/>
      <c r="H543" s="10"/>
      <c r="I543" s="10"/>
      <c r="J543" s="9"/>
      <c r="K543" s="9"/>
      <c r="L543" s="8"/>
      <c r="M543" s="8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10"/>
      <c r="G544" s="10"/>
      <c r="H544" s="10"/>
      <c r="I544" s="10"/>
      <c r="J544" s="9"/>
      <c r="K544" s="9"/>
      <c r="L544" s="8"/>
      <c r="M544" s="8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10"/>
      <c r="G545" s="10"/>
      <c r="H545" s="10"/>
      <c r="I545" s="10"/>
      <c r="J545" s="9"/>
      <c r="K545" s="9"/>
      <c r="L545" s="8"/>
      <c r="M545" s="8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10"/>
      <c r="G546" s="10"/>
      <c r="H546" s="10"/>
      <c r="I546" s="10"/>
      <c r="J546" s="9"/>
      <c r="K546" s="9"/>
      <c r="L546" s="8"/>
      <c r="M546" s="8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10"/>
      <c r="G547" s="10"/>
      <c r="H547" s="10"/>
      <c r="I547" s="10"/>
      <c r="J547" s="9"/>
      <c r="K547" s="9"/>
      <c r="L547" s="8"/>
      <c r="M547" s="8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10"/>
      <c r="G548" s="10"/>
      <c r="H548" s="10"/>
      <c r="I548" s="10"/>
      <c r="J548" s="9"/>
      <c r="K548" s="9"/>
      <c r="L548" s="8"/>
      <c r="M548" s="8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10"/>
      <c r="G549" s="10"/>
      <c r="H549" s="10"/>
      <c r="I549" s="10"/>
      <c r="J549" s="9"/>
      <c r="K549" s="9"/>
      <c r="L549" s="8"/>
      <c r="M549" s="8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10"/>
      <c r="G550" s="10"/>
      <c r="H550" s="10"/>
      <c r="I550" s="10"/>
      <c r="J550" s="9"/>
      <c r="K550" s="9"/>
      <c r="L550" s="8"/>
      <c r="M550" s="8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10"/>
      <c r="G551" s="10"/>
      <c r="H551" s="10"/>
      <c r="I551" s="10"/>
      <c r="J551" s="9"/>
      <c r="K551" s="9"/>
      <c r="L551" s="8"/>
      <c r="M551" s="8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10"/>
      <c r="G552" s="10"/>
      <c r="H552" s="10"/>
      <c r="I552" s="10"/>
      <c r="J552" s="9"/>
      <c r="K552" s="9"/>
      <c r="L552" s="8"/>
      <c r="M552" s="8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10"/>
      <c r="G553" s="10"/>
      <c r="H553" s="10"/>
      <c r="I553" s="10"/>
      <c r="J553" s="9"/>
      <c r="K553" s="9"/>
      <c r="L553" s="8"/>
      <c r="M553" s="8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10"/>
      <c r="G554" s="10"/>
      <c r="H554" s="10"/>
      <c r="I554" s="10"/>
      <c r="J554" s="9"/>
      <c r="K554" s="9"/>
      <c r="L554" s="8"/>
      <c r="M554" s="8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10"/>
      <c r="G555" s="10"/>
      <c r="H555" s="10"/>
      <c r="I555" s="10"/>
      <c r="J555" s="9"/>
      <c r="K555" s="9"/>
      <c r="L555" s="8"/>
      <c r="M555" s="8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10"/>
      <c r="G556" s="10"/>
      <c r="H556" s="10"/>
      <c r="I556" s="10"/>
      <c r="J556" s="9"/>
      <c r="K556" s="9"/>
      <c r="L556" s="8"/>
      <c r="M556" s="8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10"/>
      <c r="G557" s="10"/>
      <c r="H557" s="10"/>
      <c r="I557" s="10"/>
      <c r="J557" s="9"/>
      <c r="K557" s="9"/>
      <c r="L557" s="8"/>
      <c r="M557" s="8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10"/>
      <c r="G558" s="10"/>
      <c r="H558" s="10"/>
      <c r="I558" s="10"/>
      <c r="J558" s="9"/>
      <c r="K558" s="9"/>
      <c r="L558" s="8"/>
      <c r="M558" s="8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10"/>
      <c r="G559" s="10"/>
      <c r="H559" s="10"/>
      <c r="I559" s="10"/>
      <c r="J559" s="9"/>
      <c r="K559" s="9"/>
      <c r="L559" s="8"/>
      <c r="M559" s="8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10"/>
      <c r="G560" s="10"/>
      <c r="H560" s="10"/>
      <c r="I560" s="10"/>
      <c r="J560" s="9"/>
      <c r="K560" s="9"/>
      <c r="L560" s="8"/>
      <c r="M560" s="8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10"/>
      <c r="G561" s="10"/>
      <c r="H561" s="10"/>
      <c r="I561" s="10"/>
      <c r="J561" s="9"/>
      <c r="K561" s="9"/>
      <c r="L561" s="8"/>
      <c r="M561" s="8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10"/>
      <c r="G562" s="10"/>
      <c r="H562" s="10"/>
      <c r="I562" s="10"/>
      <c r="J562" s="9"/>
      <c r="K562" s="9"/>
      <c r="L562" s="8"/>
      <c r="M562" s="8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10"/>
      <c r="G563" s="10"/>
      <c r="H563" s="10"/>
      <c r="I563" s="10"/>
      <c r="J563" s="9"/>
      <c r="K563" s="9"/>
      <c r="L563" s="8"/>
      <c r="M563" s="8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10"/>
      <c r="G564" s="10"/>
      <c r="H564" s="10"/>
      <c r="I564" s="10"/>
      <c r="J564" s="9"/>
      <c r="K564" s="9"/>
      <c r="L564" s="8"/>
      <c r="M564" s="8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10"/>
      <c r="G565" s="10"/>
      <c r="H565" s="10"/>
      <c r="I565" s="10"/>
      <c r="J565" s="9"/>
      <c r="K565" s="9"/>
      <c r="L565" s="8"/>
      <c r="M565" s="8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10"/>
      <c r="G566" s="10"/>
      <c r="H566" s="10"/>
      <c r="I566" s="10"/>
      <c r="J566" s="9"/>
      <c r="K566" s="9"/>
      <c r="L566" s="8"/>
      <c r="M566" s="8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10"/>
      <c r="G567" s="10"/>
      <c r="H567" s="10"/>
      <c r="I567" s="10"/>
      <c r="J567" s="9"/>
      <c r="K567" s="9"/>
      <c r="L567" s="8"/>
      <c r="M567" s="8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10"/>
      <c r="G568" s="10"/>
      <c r="H568" s="10"/>
      <c r="I568" s="10"/>
      <c r="J568" s="9"/>
      <c r="K568" s="9"/>
      <c r="L568" s="8"/>
      <c r="M568" s="8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10"/>
      <c r="G569" s="10"/>
      <c r="H569" s="10"/>
      <c r="I569" s="10"/>
      <c r="J569" s="9"/>
      <c r="K569" s="9"/>
      <c r="L569" s="8"/>
      <c r="M569" s="8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10"/>
      <c r="G570" s="10"/>
      <c r="H570" s="10"/>
      <c r="I570" s="10"/>
      <c r="J570" s="9"/>
      <c r="K570" s="9"/>
      <c r="L570" s="8"/>
      <c r="M570" s="8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10"/>
      <c r="G571" s="10"/>
      <c r="H571" s="10"/>
      <c r="I571" s="10"/>
      <c r="J571" s="9"/>
      <c r="K571" s="9"/>
      <c r="L571" s="8"/>
      <c r="M571" s="8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10"/>
      <c r="G572" s="10"/>
      <c r="H572" s="10"/>
      <c r="I572" s="10"/>
      <c r="J572" s="9"/>
      <c r="K572" s="9"/>
      <c r="L572" s="8"/>
      <c r="M572" s="8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10"/>
      <c r="G573" s="10"/>
      <c r="H573" s="10"/>
      <c r="I573" s="10"/>
      <c r="J573" s="9"/>
      <c r="K573" s="9"/>
      <c r="L573" s="8"/>
      <c r="M573" s="8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10"/>
      <c r="G574" s="10"/>
      <c r="H574" s="10"/>
      <c r="I574" s="10"/>
      <c r="J574" s="9"/>
      <c r="K574" s="9"/>
      <c r="L574" s="8"/>
      <c r="M574" s="8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10"/>
      <c r="G575" s="10"/>
      <c r="H575" s="10"/>
      <c r="I575" s="10"/>
      <c r="J575" s="9"/>
      <c r="K575" s="9"/>
      <c r="L575" s="8"/>
      <c r="M575" s="8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10"/>
      <c r="G576" s="10"/>
      <c r="H576" s="10"/>
      <c r="I576" s="10"/>
      <c r="J576" s="9"/>
      <c r="K576" s="9"/>
      <c r="L576" s="8"/>
      <c r="M576" s="8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10"/>
      <c r="G577" s="10"/>
      <c r="H577" s="10"/>
      <c r="I577" s="10"/>
      <c r="J577" s="9"/>
      <c r="K577" s="9"/>
      <c r="L577" s="8"/>
      <c r="M577" s="8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10"/>
      <c r="G578" s="10"/>
      <c r="H578" s="10"/>
      <c r="I578" s="10"/>
      <c r="J578" s="9"/>
      <c r="K578" s="9"/>
      <c r="L578" s="8"/>
      <c r="M578" s="8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10"/>
      <c r="G579" s="10"/>
      <c r="H579" s="10"/>
      <c r="I579" s="10"/>
      <c r="J579" s="9"/>
      <c r="K579" s="9"/>
      <c r="L579" s="8"/>
      <c r="M579" s="8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10"/>
      <c r="G580" s="10"/>
      <c r="H580" s="10"/>
      <c r="I580" s="10"/>
      <c r="J580" s="9"/>
      <c r="K580" s="9"/>
      <c r="L580" s="8"/>
      <c r="M580" s="8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10"/>
      <c r="G581" s="10"/>
      <c r="H581" s="10"/>
      <c r="I581" s="10"/>
      <c r="J581" s="9"/>
      <c r="K581" s="9"/>
      <c r="L581" s="8"/>
      <c r="M581" s="8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10"/>
      <c r="G582" s="10"/>
      <c r="H582" s="10"/>
      <c r="I582" s="10"/>
      <c r="J582" s="9"/>
      <c r="K582" s="9"/>
      <c r="L582" s="8"/>
      <c r="M582" s="8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10"/>
      <c r="G583" s="10"/>
      <c r="H583" s="10"/>
      <c r="I583" s="10"/>
      <c r="J583" s="9"/>
      <c r="K583" s="9"/>
      <c r="L583" s="8"/>
      <c r="M583" s="8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10"/>
      <c r="G584" s="10"/>
      <c r="H584" s="10"/>
      <c r="I584" s="10"/>
      <c r="J584" s="9"/>
      <c r="K584" s="9"/>
      <c r="L584" s="8"/>
      <c r="M584" s="8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10"/>
      <c r="G585" s="10"/>
      <c r="H585" s="10"/>
      <c r="I585" s="10"/>
      <c r="J585" s="9"/>
      <c r="K585" s="9"/>
      <c r="L585" s="8"/>
      <c r="M585" s="8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10"/>
      <c r="G586" s="10"/>
      <c r="H586" s="10"/>
      <c r="I586" s="10"/>
      <c r="J586" s="9"/>
      <c r="K586" s="9"/>
      <c r="L586" s="8"/>
      <c r="M586" s="8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10"/>
      <c r="G587" s="10"/>
      <c r="H587" s="10"/>
      <c r="I587" s="10"/>
      <c r="J587" s="9"/>
      <c r="K587" s="9"/>
      <c r="L587" s="8"/>
      <c r="M587" s="8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10"/>
      <c r="G588" s="10"/>
      <c r="H588" s="10"/>
      <c r="I588" s="10"/>
      <c r="J588" s="9"/>
      <c r="K588" s="9"/>
      <c r="L588" s="8"/>
      <c r="M588" s="8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10"/>
      <c r="G589" s="10"/>
      <c r="H589" s="10"/>
      <c r="I589" s="10"/>
      <c r="J589" s="9"/>
      <c r="K589" s="9"/>
      <c r="L589" s="8"/>
      <c r="M589" s="8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10"/>
      <c r="G590" s="10"/>
      <c r="H590" s="10"/>
      <c r="I590" s="10"/>
      <c r="J590" s="9"/>
      <c r="K590" s="9"/>
      <c r="L590" s="8"/>
      <c r="M590" s="8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10"/>
      <c r="G591" s="10"/>
      <c r="H591" s="10"/>
      <c r="I591" s="10"/>
      <c r="J591" s="9"/>
      <c r="K591" s="9"/>
      <c r="L591" s="8"/>
      <c r="M591" s="8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10"/>
      <c r="G592" s="10"/>
      <c r="H592" s="10"/>
      <c r="I592" s="10"/>
      <c r="J592" s="9"/>
      <c r="K592" s="9"/>
      <c r="L592" s="8"/>
      <c r="M592" s="8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10"/>
      <c r="G593" s="10"/>
      <c r="H593" s="10"/>
      <c r="I593" s="10"/>
      <c r="J593" s="9"/>
      <c r="K593" s="9"/>
      <c r="L593" s="8"/>
      <c r="M593" s="8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10"/>
      <c r="G594" s="10"/>
      <c r="H594" s="10"/>
      <c r="I594" s="10"/>
      <c r="J594" s="9"/>
      <c r="K594" s="9"/>
      <c r="L594" s="8"/>
      <c r="M594" s="8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10"/>
      <c r="G595" s="10"/>
      <c r="H595" s="10"/>
      <c r="I595" s="10"/>
      <c r="J595" s="9"/>
      <c r="K595" s="9"/>
      <c r="L595" s="8"/>
      <c r="M595" s="8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10"/>
      <c r="G596" s="10"/>
      <c r="H596" s="10"/>
      <c r="I596" s="10"/>
      <c r="J596" s="9"/>
      <c r="K596" s="9"/>
      <c r="L596" s="8"/>
      <c r="M596" s="8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10"/>
      <c r="G597" s="10"/>
      <c r="H597" s="10"/>
      <c r="I597" s="10"/>
      <c r="J597" s="9"/>
      <c r="K597" s="9"/>
      <c r="L597" s="8"/>
      <c r="M597" s="8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10"/>
      <c r="G598" s="10"/>
      <c r="H598" s="10"/>
      <c r="I598" s="10"/>
      <c r="J598" s="9"/>
      <c r="K598" s="9"/>
      <c r="L598" s="8"/>
      <c r="M598" s="8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10"/>
      <c r="G599" s="10"/>
      <c r="H599" s="10"/>
      <c r="I599" s="10"/>
      <c r="J599" s="9"/>
      <c r="K599" s="9"/>
      <c r="L599" s="8"/>
      <c r="M599" s="8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10"/>
      <c r="G600" s="10"/>
      <c r="H600" s="10"/>
      <c r="I600" s="10"/>
      <c r="J600" s="9"/>
      <c r="K600" s="9"/>
      <c r="L600" s="8"/>
      <c r="M600" s="8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10"/>
      <c r="G601" s="10"/>
      <c r="H601" s="10"/>
      <c r="I601" s="10"/>
      <c r="J601" s="9"/>
      <c r="K601" s="9"/>
      <c r="L601" s="8"/>
      <c r="M601" s="8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10"/>
      <c r="G602" s="10"/>
      <c r="H602" s="10"/>
      <c r="I602" s="10"/>
      <c r="J602" s="9"/>
      <c r="K602" s="9"/>
      <c r="L602" s="8"/>
      <c r="M602" s="8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10"/>
      <c r="G603" s="10"/>
      <c r="H603" s="10"/>
      <c r="I603" s="10"/>
      <c r="J603" s="9"/>
      <c r="K603" s="9"/>
      <c r="L603" s="8"/>
      <c r="M603" s="8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10"/>
      <c r="G604" s="10"/>
      <c r="H604" s="10"/>
      <c r="I604" s="10"/>
      <c r="J604" s="9"/>
      <c r="K604" s="9"/>
      <c r="L604" s="8"/>
      <c r="M604" s="8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10"/>
      <c r="G605" s="10"/>
      <c r="H605" s="10"/>
      <c r="I605" s="10"/>
      <c r="J605" s="9"/>
      <c r="K605" s="9"/>
      <c r="L605" s="8"/>
      <c r="M605" s="8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10"/>
      <c r="G606" s="10"/>
      <c r="H606" s="10"/>
      <c r="I606" s="10"/>
      <c r="J606" s="9"/>
      <c r="K606" s="9"/>
      <c r="L606" s="8"/>
      <c r="M606" s="8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10"/>
      <c r="G607" s="10"/>
      <c r="H607" s="10"/>
      <c r="I607" s="10"/>
      <c r="J607" s="9"/>
      <c r="K607" s="9"/>
      <c r="L607" s="8"/>
      <c r="M607" s="8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10"/>
      <c r="G608" s="10"/>
      <c r="H608" s="10"/>
      <c r="I608" s="10"/>
      <c r="J608" s="9"/>
      <c r="K608" s="9"/>
      <c r="L608" s="8"/>
      <c r="M608" s="8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10"/>
      <c r="G609" s="10"/>
      <c r="H609" s="10"/>
      <c r="I609" s="10"/>
      <c r="J609" s="9"/>
      <c r="K609" s="9"/>
      <c r="L609" s="8"/>
      <c r="M609" s="8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10"/>
      <c r="G610" s="10"/>
      <c r="H610" s="10"/>
      <c r="I610" s="10"/>
      <c r="J610" s="9"/>
      <c r="K610" s="9"/>
      <c r="L610" s="8"/>
      <c r="M610" s="8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10"/>
      <c r="G611" s="10"/>
      <c r="H611" s="10"/>
      <c r="I611" s="10"/>
      <c r="J611" s="9"/>
      <c r="K611" s="9"/>
      <c r="L611" s="8"/>
      <c r="M611" s="8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10"/>
      <c r="G612" s="10"/>
      <c r="H612" s="10"/>
      <c r="I612" s="10"/>
      <c r="J612" s="9"/>
      <c r="K612" s="9"/>
      <c r="L612" s="8"/>
      <c r="M612" s="8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10"/>
      <c r="G613" s="10"/>
      <c r="H613" s="10"/>
      <c r="I613" s="10"/>
      <c r="J613" s="9"/>
      <c r="K613" s="9"/>
      <c r="L613" s="8"/>
      <c r="M613" s="8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10"/>
      <c r="G614" s="10"/>
      <c r="H614" s="10"/>
      <c r="I614" s="10"/>
      <c r="J614" s="9"/>
      <c r="K614" s="9"/>
      <c r="L614" s="8"/>
      <c r="M614" s="8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10"/>
      <c r="G615" s="10"/>
      <c r="H615" s="10"/>
      <c r="I615" s="10"/>
      <c r="J615" s="9"/>
      <c r="K615" s="9"/>
      <c r="L615" s="8"/>
      <c r="M615" s="8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10"/>
      <c r="G616" s="10"/>
      <c r="H616" s="10"/>
      <c r="I616" s="10"/>
      <c r="J616" s="9"/>
      <c r="K616" s="9"/>
      <c r="L616" s="8"/>
      <c r="M616" s="8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10"/>
      <c r="G617" s="10"/>
      <c r="H617" s="10"/>
      <c r="I617" s="10"/>
      <c r="J617" s="9"/>
      <c r="K617" s="9"/>
      <c r="L617" s="8"/>
      <c r="M617" s="8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10"/>
      <c r="G618" s="10"/>
      <c r="H618" s="10"/>
      <c r="I618" s="10"/>
      <c r="J618" s="9"/>
      <c r="K618" s="9"/>
      <c r="L618" s="8"/>
      <c r="M618" s="8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10"/>
      <c r="G619" s="10"/>
      <c r="H619" s="10"/>
      <c r="I619" s="10"/>
      <c r="J619" s="9"/>
      <c r="K619" s="9"/>
      <c r="L619" s="8"/>
      <c r="M619" s="8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10"/>
      <c r="G620" s="10"/>
      <c r="H620" s="10"/>
      <c r="I620" s="10"/>
      <c r="J620" s="9"/>
      <c r="K620" s="9"/>
      <c r="L620" s="8"/>
      <c r="M620" s="8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10"/>
      <c r="G621" s="10"/>
      <c r="H621" s="10"/>
      <c r="I621" s="10"/>
      <c r="J621" s="9"/>
      <c r="K621" s="9"/>
      <c r="L621" s="8"/>
      <c r="M621" s="8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10"/>
      <c r="G622" s="10"/>
      <c r="H622" s="10"/>
      <c r="I622" s="10"/>
      <c r="J622" s="9"/>
      <c r="K622" s="9"/>
      <c r="L622" s="8"/>
      <c r="M622" s="8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10"/>
      <c r="G623" s="10"/>
      <c r="H623" s="10"/>
      <c r="I623" s="10"/>
      <c r="J623" s="9"/>
      <c r="K623" s="9"/>
      <c r="L623" s="8"/>
      <c r="M623" s="8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10"/>
      <c r="G624" s="10"/>
      <c r="H624" s="10"/>
      <c r="I624" s="10"/>
      <c r="J624" s="9"/>
      <c r="K624" s="9"/>
      <c r="L624" s="8"/>
      <c r="M624" s="8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10"/>
      <c r="G625" s="10"/>
      <c r="H625" s="10"/>
      <c r="I625" s="10"/>
      <c r="J625" s="9"/>
      <c r="K625" s="9"/>
      <c r="L625" s="8"/>
      <c r="M625" s="8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10"/>
      <c r="G626" s="10"/>
      <c r="H626" s="10"/>
      <c r="I626" s="10"/>
      <c r="J626" s="9"/>
      <c r="K626" s="9"/>
      <c r="L626" s="8"/>
      <c r="M626" s="8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10"/>
      <c r="G627" s="10"/>
      <c r="H627" s="10"/>
      <c r="I627" s="10"/>
      <c r="J627" s="9"/>
      <c r="K627" s="9"/>
      <c r="L627" s="8"/>
      <c r="M627" s="8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10"/>
      <c r="G628" s="10"/>
      <c r="H628" s="10"/>
      <c r="I628" s="10"/>
      <c r="J628" s="9"/>
      <c r="K628" s="9"/>
      <c r="L628" s="8"/>
      <c r="M628" s="8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10"/>
      <c r="G629" s="10"/>
      <c r="H629" s="10"/>
      <c r="I629" s="10"/>
      <c r="J629" s="9"/>
      <c r="K629" s="9"/>
      <c r="L629" s="8"/>
      <c r="M629" s="8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10"/>
      <c r="G630" s="10"/>
      <c r="H630" s="10"/>
      <c r="I630" s="10"/>
      <c r="J630" s="9"/>
      <c r="K630" s="9"/>
      <c r="L630" s="8"/>
      <c r="M630" s="8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10"/>
      <c r="G631" s="10"/>
      <c r="H631" s="10"/>
      <c r="I631" s="10"/>
      <c r="J631" s="9"/>
      <c r="K631" s="9"/>
      <c r="L631" s="8"/>
      <c r="M631" s="8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10"/>
      <c r="G632" s="10"/>
      <c r="H632" s="10"/>
      <c r="I632" s="10"/>
      <c r="J632" s="9"/>
      <c r="K632" s="9"/>
      <c r="L632" s="8"/>
      <c r="M632" s="8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10"/>
      <c r="G633" s="10"/>
      <c r="H633" s="10"/>
      <c r="I633" s="10"/>
      <c r="J633" s="9"/>
      <c r="K633" s="9"/>
      <c r="L633" s="8"/>
      <c r="M633" s="8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10"/>
      <c r="G634" s="10"/>
      <c r="H634" s="10"/>
      <c r="I634" s="10"/>
      <c r="J634" s="9"/>
      <c r="K634" s="9"/>
      <c r="L634" s="8"/>
      <c r="M634" s="8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10"/>
      <c r="G635" s="10"/>
      <c r="H635" s="10"/>
      <c r="I635" s="10"/>
      <c r="J635" s="9"/>
      <c r="K635" s="9"/>
      <c r="L635" s="8"/>
      <c r="M635" s="8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10"/>
      <c r="G636" s="10"/>
      <c r="H636" s="10"/>
      <c r="I636" s="10"/>
      <c r="J636" s="9"/>
      <c r="K636" s="9"/>
      <c r="L636" s="8"/>
      <c r="M636" s="8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10"/>
      <c r="G637" s="10"/>
      <c r="H637" s="10"/>
      <c r="I637" s="10"/>
      <c r="J637" s="9"/>
      <c r="K637" s="9"/>
      <c r="L637" s="8"/>
      <c r="M637" s="8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10"/>
      <c r="G638" s="10"/>
      <c r="H638" s="10"/>
      <c r="I638" s="10"/>
      <c r="J638" s="9"/>
      <c r="K638" s="9"/>
      <c r="L638" s="8"/>
      <c r="M638" s="8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10"/>
      <c r="G639" s="10"/>
      <c r="H639" s="10"/>
      <c r="I639" s="10"/>
      <c r="J639" s="9"/>
      <c r="K639" s="9"/>
      <c r="L639" s="8"/>
      <c r="M639" s="8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10"/>
      <c r="G640" s="10"/>
      <c r="H640" s="10"/>
      <c r="I640" s="10"/>
      <c r="J640" s="9"/>
      <c r="K640" s="9"/>
      <c r="L640" s="8"/>
      <c r="M640" s="8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10"/>
      <c r="G641" s="10"/>
      <c r="H641" s="10"/>
      <c r="I641" s="10"/>
      <c r="J641" s="9"/>
      <c r="K641" s="9"/>
      <c r="L641" s="8"/>
      <c r="M641" s="8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10"/>
      <c r="G642" s="10"/>
      <c r="H642" s="10"/>
      <c r="I642" s="10"/>
      <c r="J642" s="9"/>
      <c r="K642" s="9"/>
      <c r="L642" s="8"/>
      <c r="M642" s="8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10"/>
      <c r="G643" s="10"/>
      <c r="H643" s="10"/>
      <c r="I643" s="10"/>
      <c r="J643" s="9"/>
      <c r="K643" s="9"/>
      <c r="L643" s="8"/>
      <c r="M643" s="8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10"/>
      <c r="G644" s="10"/>
      <c r="H644" s="10"/>
      <c r="I644" s="10"/>
      <c r="J644" s="9"/>
      <c r="K644" s="9"/>
      <c r="L644" s="8"/>
      <c r="M644" s="8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10"/>
      <c r="G645" s="10"/>
      <c r="H645" s="10"/>
      <c r="I645" s="10"/>
      <c r="J645" s="9"/>
      <c r="K645" s="9"/>
      <c r="L645" s="8"/>
      <c r="M645" s="8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10"/>
      <c r="G646" s="10"/>
      <c r="H646" s="10"/>
      <c r="I646" s="10"/>
      <c r="J646" s="9"/>
      <c r="K646" s="9"/>
      <c r="L646" s="8"/>
      <c r="M646" s="8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10"/>
      <c r="G647" s="10"/>
      <c r="H647" s="10"/>
      <c r="I647" s="10"/>
      <c r="J647" s="9"/>
      <c r="K647" s="9"/>
      <c r="L647" s="8"/>
      <c r="M647" s="8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10"/>
      <c r="G648" s="10"/>
      <c r="H648" s="10"/>
      <c r="I648" s="10"/>
      <c r="J648" s="9"/>
      <c r="K648" s="9"/>
      <c r="L648" s="8"/>
      <c r="M648" s="8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10"/>
      <c r="G649" s="10"/>
      <c r="H649" s="10"/>
      <c r="I649" s="10"/>
      <c r="J649" s="9"/>
      <c r="K649" s="9"/>
      <c r="L649" s="8"/>
      <c r="M649" s="8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10"/>
      <c r="G650" s="10"/>
      <c r="H650" s="10"/>
      <c r="I650" s="10"/>
      <c r="J650" s="9"/>
      <c r="K650" s="9"/>
      <c r="L650" s="8"/>
      <c r="M650" s="8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10"/>
      <c r="G651" s="10"/>
      <c r="H651" s="10"/>
      <c r="I651" s="10"/>
      <c r="J651" s="9"/>
      <c r="K651" s="9"/>
      <c r="L651" s="8"/>
      <c r="M651" s="8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10"/>
      <c r="G652" s="10"/>
      <c r="H652" s="10"/>
      <c r="I652" s="10"/>
      <c r="J652" s="9"/>
      <c r="K652" s="9"/>
      <c r="L652" s="8"/>
      <c r="M652" s="8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10"/>
      <c r="G653" s="10"/>
      <c r="H653" s="10"/>
      <c r="I653" s="10"/>
      <c r="J653" s="9"/>
      <c r="K653" s="9"/>
      <c r="L653" s="8"/>
      <c r="M653" s="8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10"/>
      <c r="G654" s="10"/>
      <c r="H654" s="10"/>
      <c r="I654" s="10"/>
      <c r="J654" s="9"/>
      <c r="K654" s="9"/>
      <c r="L654" s="8"/>
      <c r="M654" s="8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10"/>
      <c r="G655" s="10"/>
      <c r="H655" s="10"/>
      <c r="I655" s="10"/>
      <c r="J655" s="9"/>
      <c r="K655" s="9"/>
      <c r="L655" s="8"/>
      <c r="M655" s="8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10"/>
      <c r="G656" s="10"/>
      <c r="H656" s="10"/>
      <c r="I656" s="10"/>
      <c r="J656" s="9"/>
      <c r="K656" s="9"/>
      <c r="L656" s="8"/>
      <c r="M656" s="8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10"/>
      <c r="G657" s="10"/>
      <c r="H657" s="10"/>
      <c r="I657" s="10"/>
      <c r="J657" s="9"/>
      <c r="K657" s="9"/>
      <c r="L657" s="8"/>
      <c r="M657" s="8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10"/>
      <c r="G658" s="10"/>
      <c r="H658" s="10"/>
      <c r="I658" s="10"/>
      <c r="J658" s="9"/>
      <c r="K658" s="9"/>
      <c r="L658" s="8"/>
      <c r="M658" s="8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10"/>
      <c r="G659" s="10"/>
      <c r="H659" s="10"/>
      <c r="I659" s="10"/>
      <c r="J659" s="9"/>
      <c r="K659" s="9"/>
      <c r="L659" s="8"/>
      <c r="M659" s="8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10"/>
      <c r="G660" s="10"/>
      <c r="H660" s="10"/>
      <c r="I660" s="10"/>
      <c r="J660" s="9"/>
      <c r="K660" s="9"/>
      <c r="L660" s="8"/>
      <c r="M660" s="8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10"/>
      <c r="G661" s="10"/>
      <c r="H661" s="10"/>
      <c r="I661" s="10"/>
      <c r="J661" s="9"/>
      <c r="K661" s="9"/>
      <c r="L661" s="8"/>
      <c r="M661" s="8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10"/>
      <c r="G662" s="10"/>
      <c r="H662" s="10"/>
      <c r="I662" s="10"/>
      <c r="J662" s="9"/>
      <c r="K662" s="9"/>
      <c r="L662" s="8"/>
      <c r="M662" s="8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10"/>
      <c r="G663" s="10"/>
      <c r="H663" s="10"/>
      <c r="I663" s="10"/>
      <c r="J663" s="9"/>
      <c r="K663" s="9"/>
      <c r="L663" s="8"/>
      <c r="M663" s="8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10"/>
      <c r="G664" s="10"/>
      <c r="H664" s="10"/>
      <c r="I664" s="10"/>
      <c r="J664" s="9"/>
      <c r="K664" s="9"/>
      <c r="L664" s="8"/>
      <c r="M664" s="8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10"/>
      <c r="G665" s="10"/>
      <c r="H665" s="10"/>
      <c r="I665" s="10"/>
      <c r="J665" s="9"/>
      <c r="K665" s="9"/>
      <c r="L665" s="8"/>
      <c r="M665" s="8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10"/>
      <c r="G666" s="10"/>
      <c r="H666" s="10"/>
      <c r="I666" s="10"/>
      <c r="J666" s="9"/>
      <c r="K666" s="9"/>
      <c r="L666" s="8"/>
      <c r="M666" s="8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10"/>
      <c r="G667" s="10"/>
      <c r="H667" s="10"/>
      <c r="I667" s="10"/>
      <c r="J667" s="9"/>
      <c r="K667" s="9"/>
      <c r="L667" s="8"/>
      <c r="M667" s="8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10"/>
      <c r="G668" s="10"/>
      <c r="H668" s="10"/>
      <c r="I668" s="10"/>
      <c r="J668" s="9"/>
      <c r="K668" s="9"/>
      <c r="L668" s="8"/>
      <c r="M668" s="8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10"/>
      <c r="G669" s="10"/>
      <c r="H669" s="10"/>
      <c r="I669" s="10"/>
      <c r="J669" s="9"/>
      <c r="K669" s="9"/>
      <c r="L669" s="8"/>
      <c r="M669" s="8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10"/>
      <c r="G670" s="10"/>
      <c r="H670" s="10"/>
      <c r="I670" s="10"/>
      <c r="J670" s="9"/>
      <c r="K670" s="9"/>
      <c r="L670" s="8"/>
      <c r="M670" s="8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10"/>
      <c r="G671" s="10"/>
      <c r="H671" s="10"/>
      <c r="I671" s="10"/>
      <c r="J671" s="9"/>
      <c r="K671" s="9"/>
      <c r="L671" s="8"/>
      <c r="M671" s="8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10"/>
      <c r="G672" s="10"/>
      <c r="H672" s="10"/>
      <c r="I672" s="10"/>
      <c r="J672" s="9"/>
      <c r="K672" s="9"/>
      <c r="L672" s="8"/>
      <c r="M672" s="8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10"/>
      <c r="G673" s="10"/>
      <c r="H673" s="10"/>
      <c r="I673" s="10"/>
      <c r="J673" s="9"/>
      <c r="K673" s="9"/>
      <c r="L673" s="8"/>
      <c r="M673" s="8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10"/>
      <c r="G674" s="10"/>
      <c r="H674" s="10"/>
      <c r="I674" s="10"/>
      <c r="J674" s="9"/>
      <c r="K674" s="9"/>
      <c r="L674" s="8"/>
      <c r="M674" s="8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10"/>
      <c r="G675" s="10"/>
      <c r="H675" s="10"/>
      <c r="I675" s="10"/>
      <c r="J675" s="9"/>
      <c r="K675" s="9"/>
      <c r="L675" s="8"/>
      <c r="M675" s="8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10"/>
      <c r="G676" s="10"/>
      <c r="H676" s="10"/>
      <c r="I676" s="10"/>
      <c r="J676" s="9"/>
      <c r="K676" s="9"/>
      <c r="L676" s="8"/>
      <c r="M676" s="8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10"/>
      <c r="G677" s="10"/>
      <c r="H677" s="10"/>
      <c r="I677" s="10"/>
      <c r="J677" s="9"/>
      <c r="K677" s="9"/>
      <c r="L677" s="8"/>
      <c r="M677" s="8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10"/>
      <c r="G678" s="10"/>
      <c r="H678" s="10"/>
      <c r="I678" s="10"/>
      <c r="J678" s="9"/>
      <c r="K678" s="9"/>
      <c r="L678" s="8"/>
      <c r="M678" s="8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10"/>
      <c r="G679" s="10"/>
      <c r="H679" s="10"/>
      <c r="I679" s="10"/>
      <c r="J679" s="9"/>
      <c r="K679" s="9"/>
      <c r="L679" s="8"/>
      <c r="M679" s="8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10"/>
      <c r="G680" s="10"/>
      <c r="H680" s="10"/>
      <c r="I680" s="10"/>
      <c r="J680" s="9"/>
      <c r="K680" s="9"/>
      <c r="L680" s="8"/>
      <c r="M680" s="8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10"/>
      <c r="G681" s="10"/>
      <c r="H681" s="10"/>
      <c r="I681" s="10"/>
      <c r="J681" s="9"/>
      <c r="K681" s="9"/>
      <c r="L681" s="8"/>
      <c r="M681" s="8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10"/>
      <c r="G682" s="10"/>
      <c r="H682" s="10"/>
      <c r="I682" s="10"/>
      <c r="J682" s="9"/>
      <c r="K682" s="9"/>
      <c r="L682" s="8"/>
      <c r="M682" s="8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10"/>
      <c r="G683" s="10"/>
      <c r="H683" s="10"/>
      <c r="I683" s="10"/>
      <c r="J683" s="9"/>
      <c r="K683" s="9"/>
      <c r="L683" s="8"/>
      <c r="M683" s="8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10"/>
      <c r="G684" s="10"/>
      <c r="H684" s="10"/>
      <c r="I684" s="10"/>
      <c r="J684" s="9"/>
      <c r="K684" s="9"/>
      <c r="L684" s="8"/>
      <c r="M684" s="8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10"/>
      <c r="G685" s="10"/>
      <c r="H685" s="10"/>
      <c r="I685" s="10"/>
      <c r="J685" s="9"/>
      <c r="K685" s="9"/>
      <c r="L685" s="8"/>
      <c r="M685" s="8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10"/>
      <c r="G686" s="10"/>
      <c r="H686" s="10"/>
      <c r="I686" s="10"/>
      <c r="J686" s="9"/>
      <c r="K686" s="9"/>
      <c r="L686" s="8"/>
      <c r="M686" s="8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10"/>
      <c r="G687" s="10"/>
      <c r="H687" s="10"/>
      <c r="I687" s="10"/>
      <c r="J687" s="9"/>
      <c r="K687" s="9"/>
      <c r="L687" s="8"/>
      <c r="M687" s="8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10"/>
      <c r="G688" s="10"/>
      <c r="H688" s="10"/>
      <c r="I688" s="10"/>
      <c r="J688" s="9"/>
      <c r="K688" s="9"/>
      <c r="L688" s="8"/>
      <c r="M688" s="8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10"/>
      <c r="G689" s="10"/>
      <c r="H689" s="10"/>
      <c r="I689" s="10"/>
      <c r="J689" s="9"/>
      <c r="K689" s="9"/>
      <c r="L689" s="8"/>
      <c r="M689" s="8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10"/>
      <c r="G690" s="10"/>
      <c r="H690" s="10"/>
      <c r="I690" s="10"/>
      <c r="J690" s="9"/>
      <c r="K690" s="9"/>
      <c r="L690" s="8"/>
      <c r="M690" s="8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10"/>
      <c r="G691" s="10"/>
      <c r="H691" s="10"/>
      <c r="I691" s="10"/>
      <c r="J691" s="9"/>
      <c r="K691" s="9"/>
      <c r="L691" s="8"/>
      <c r="M691" s="8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10"/>
      <c r="G692" s="10"/>
      <c r="H692" s="10"/>
      <c r="I692" s="10"/>
      <c r="J692" s="9"/>
      <c r="K692" s="9"/>
      <c r="L692" s="8"/>
      <c r="M692" s="8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10"/>
      <c r="G693" s="10"/>
      <c r="H693" s="10"/>
      <c r="I693" s="10"/>
      <c r="J693" s="9"/>
      <c r="K693" s="9"/>
      <c r="L693" s="8"/>
      <c r="M693" s="8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10"/>
      <c r="G694" s="10"/>
      <c r="H694" s="10"/>
      <c r="I694" s="10"/>
      <c r="J694" s="9"/>
      <c r="K694" s="9"/>
      <c r="L694" s="8"/>
      <c r="M694" s="8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10"/>
      <c r="G695" s="10"/>
      <c r="H695" s="10"/>
      <c r="I695" s="10"/>
      <c r="J695" s="9"/>
      <c r="K695" s="9"/>
      <c r="L695" s="8"/>
      <c r="M695" s="8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10"/>
      <c r="G696" s="10"/>
      <c r="H696" s="10"/>
      <c r="I696" s="10"/>
      <c r="J696" s="9"/>
      <c r="K696" s="9"/>
      <c r="L696" s="8"/>
      <c r="M696" s="8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10"/>
      <c r="G697" s="10"/>
      <c r="H697" s="10"/>
      <c r="I697" s="10"/>
      <c r="J697" s="9"/>
      <c r="K697" s="9"/>
      <c r="L697" s="8"/>
      <c r="M697" s="8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10"/>
      <c r="G698" s="10"/>
      <c r="H698" s="10"/>
      <c r="I698" s="10"/>
      <c r="J698" s="9"/>
      <c r="K698" s="9"/>
      <c r="L698" s="8"/>
      <c r="M698" s="8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10"/>
      <c r="G699" s="10"/>
      <c r="H699" s="10"/>
      <c r="I699" s="10"/>
      <c r="J699" s="9"/>
      <c r="K699" s="9"/>
      <c r="L699" s="8"/>
      <c r="M699" s="8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10"/>
      <c r="G700" s="10"/>
      <c r="H700" s="10"/>
      <c r="I700" s="10"/>
      <c r="J700" s="9"/>
      <c r="K700" s="9"/>
      <c r="L700" s="8"/>
      <c r="M700" s="8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10"/>
      <c r="G701" s="10"/>
      <c r="H701" s="10"/>
      <c r="I701" s="10"/>
      <c r="J701" s="9"/>
      <c r="K701" s="9"/>
      <c r="L701" s="8"/>
      <c r="M701" s="8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10"/>
      <c r="G702" s="10"/>
      <c r="H702" s="10"/>
      <c r="I702" s="10"/>
      <c r="J702" s="9"/>
      <c r="K702" s="9"/>
      <c r="L702" s="8"/>
      <c r="M702" s="8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10"/>
      <c r="G703" s="10"/>
      <c r="H703" s="10"/>
      <c r="I703" s="10"/>
      <c r="J703" s="9"/>
      <c r="K703" s="9"/>
      <c r="L703" s="8"/>
      <c r="M703" s="8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10"/>
      <c r="G704" s="10"/>
      <c r="H704" s="10"/>
      <c r="I704" s="10"/>
      <c r="J704" s="9"/>
      <c r="K704" s="9"/>
      <c r="L704" s="8"/>
      <c r="M704" s="8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10"/>
      <c r="G705" s="10"/>
      <c r="H705" s="10"/>
      <c r="I705" s="10"/>
      <c r="J705" s="9"/>
      <c r="K705" s="9"/>
      <c r="L705" s="8"/>
      <c r="M705" s="8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10"/>
      <c r="G706" s="10"/>
      <c r="H706" s="10"/>
      <c r="I706" s="10"/>
      <c r="J706" s="9"/>
      <c r="K706" s="9"/>
      <c r="L706" s="8"/>
      <c r="M706" s="8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10"/>
      <c r="G707" s="10"/>
      <c r="H707" s="10"/>
      <c r="I707" s="10"/>
      <c r="J707" s="9"/>
      <c r="K707" s="9"/>
      <c r="L707" s="8"/>
      <c r="M707" s="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10"/>
      <c r="G708" s="10"/>
      <c r="H708" s="10"/>
      <c r="I708" s="10"/>
      <c r="J708" s="9"/>
      <c r="K708" s="9"/>
      <c r="L708" s="8"/>
      <c r="M708" s="8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10"/>
      <c r="G709" s="10"/>
      <c r="H709" s="10"/>
      <c r="I709" s="10"/>
      <c r="J709" s="9"/>
      <c r="K709" s="9"/>
      <c r="L709" s="8"/>
      <c r="M709" s="8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10"/>
      <c r="G710" s="10"/>
      <c r="H710" s="10"/>
      <c r="I710" s="10"/>
      <c r="J710" s="9"/>
      <c r="K710" s="9"/>
      <c r="L710" s="8"/>
      <c r="M710" s="8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10"/>
      <c r="G711" s="10"/>
      <c r="H711" s="10"/>
      <c r="I711" s="10"/>
      <c r="J711" s="9"/>
      <c r="K711" s="9"/>
      <c r="L711" s="8"/>
      <c r="M711" s="8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10"/>
      <c r="G712" s="10"/>
      <c r="H712" s="10"/>
      <c r="I712" s="10"/>
      <c r="J712" s="9"/>
      <c r="K712" s="9"/>
      <c r="L712" s="8"/>
      <c r="M712" s="8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10"/>
      <c r="G713" s="10"/>
      <c r="H713" s="10"/>
      <c r="I713" s="10"/>
      <c r="J713" s="9"/>
      <c r="K713" s="9"/>
      <c r="L713" s="8"/>
      <c r="M713" s="8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10"/>
      <c r="G714" s="10"/>
      <c r="H714" s="10"/>
      <c r="I714" s="10"/>
      <c r="J714" s="9"/>
      <c r="K714" s="9"/>
      <c r="L714" s="8"/>
      <c r="M714" s="8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10"/>
      <c r="G715" s="10"/>
      <c r="H715" s="10"/>
      <c r="I715" s="10"/>
      <c r="J715" s="9"/>
      <c r="K715" s="9"/>
      <c r="L715" s="8"/>
      <c r="M715" s="8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10"/>
      <c r="G716" s="10"/>
      <c r="H716" s="10"/>
      <c r="I716" s="10"/>
      <c r="J716" s="9"/>
      <c r="K716" s="9"/>
      <c r="L716" s="8"/>
      <c r="M716" s="8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10"/>
      <c r="G717" s="10"/>
      <c r="H717" s="10"/>
      <c r="I717" s="10"/>
      <c r="J717" s="9"/>
      <c r="K717" s="9"/>
      <c r="L717" s="8"/>
      <c r="M717" s="8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10"/>
      <c r="G718" s="10"/>
      <c r="H718" s="10"/>
      <c r="I718" s="10"/>
      <c r="J718" s="9"/>
      <c r="K718" s="9"/>
      <c r="L718" s="8"/>
      <c r="M718" s="8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10"/>
      <c r="G719" s="10"/>
      <c r="H719" s="10"/>
      <c r="I719" s="10"/>
      <c r="J719" s="9"/>
      <c r="K719" s="9"/>
      <c r="L719" s="8"/>
      <c r="M719" s="8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10"/>
      <c r="G720" s="10"/>
      <c r="H720" s="10"/>
      <c r="I720" s="10"/>
      <c r="J720" s="9"/>
      <c r="K720" s="9"/>
      <c r="L720" s="8"/>
      <c r="M720" s="8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10"/>
      <c r="G721" s="10"/>
      <c r="H721" s="10"/>
      <c r="I721" s="10"/>
      <c r="J721" s="9"/>
      <c r="K721" s="9"/>
      <c r="L721" s="8"/>
      <c r="M721" s="8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10"/>
      <c r="G722" s="10"/>
      <c r="H722" s="10"/>
      <c r="I722" s="10"/>
      <c r="J722" s="9"/>
      <c r="K722" s="9"/>
      <c r="L722" s="8"/>
      <c r="M722" s="8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10"/>
      <c r="G723" s="10"/>
      <c r="H723" s="10"/>
      <c r="I723" s="10"/>
      <c r="J723" s="9"/>
      <c r="K723" s="9"/>
      <c r="L723" s="8"/>
      <c r="M723" s="8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10"/>
      <c r="G724" s="10"/>
      <c r="H724" s="10"/>
      <c r="I724" s="10"/>
      <c r="J724" s="9"/>
      <c r="K724" s="9"/>
      <c r="L724" s="8"/>
      <c r="M724" s="8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10"/>
      <c r="G725" s="10"/>
      <c r="H725" s="10"/>
      <c r="I725" s="10"/>
      <c r="J725" s="9"/>
      <c r="K725" s="9"/>
      <c r="L725" s="8"/>
      <c r="M725" s="8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10"/>
      <c r="G726" s="10"/>
      <c r="H726" s="10"/>
      <c r="I726" s="10"/>
      <c r="J726" s="9"/>
      <c r="K726" s="9"/>
      <c r="L726" s="8"/>
      <c r="M726" s="8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10"/>
      <c r="G727" s="10"/>
      <c r="H727" s="10"/>
      <c r="I727" s="10"/>
      <c r="J727" s="9"/>
      <c r="K727" s="9"/>
      <c r="L727" s="8"/>
      <c r="M727" s="8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10"/>
      <c r="G728" s="10"/>
      <c r="H728" s="10"/>
      <c r="I728" s="10"/>
      <c r="J728" s="9"/>
      <c r="K728" s="9"/>
      <c r="L728" s="8"/>
      <c r="M728" s="8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10"/>
      <c r="G729" s="10"/>
      <c r="H729" s="10"/>
      <c r="I729" s="10"/>
      <c r="J729" s="9"/>
      <c r="K729" s="9"/>
      <c r="L729" s="8"/>
      <c r="M729" s="8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10"/>
      <c r="G730" s="10"/>
      <c r="H730" s="10"/>
      <c r="I730" s="10"/>
      <c r="J730" s="9"/>
      <c r="K730" s="9"/>
      <c r="L730" s="8"/>
      <c r="M730" s="8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10"/>
      <c r="G731" s="10"/>
      <c r="H731" s="10"/>
      <c r="I731" s="10"/>
      <c r="J731" s="9"/>
      <c r="K731" s="9"/>
      <c r="L731" s="8"/>
      <c r="M731" s="8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10"/>
      <c r="G732" s="10"/>
      <c r="H732" s="10"/>
      <c r="I732" s="10"/>
      <c r="J732" s="9"/>
      <c r="K732" s="9"/>
      <c r="L732" s="8"/>
      <c r="M732" s="8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10"/>
      <c r="G733" s="10"/>
      <c r="H733" s="10"/>
      <c r="I733" s="10"/>
      <c r="J733" s="9"/>
      <c r="K733" s="9"/>
      <c r="L733" s="8"/>
      <c r="M733" s="8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10"/>
      <c r="G734" s="10"/>
      <c r="H734" s="10"/>
      <c r="I734" s="10"/>
      <c r="J734" s="9"/>
      <c r="K734" s="9"/>
      <c r="L734" s="8"/>
      <c r="M734" s="8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10"/>
      <c r="G735" s="10"/>
      <c r="H735" s="10"/>
      <c r="I735" s="10"/>
      <c r="J735" s="9"/>
      <c r="K735" s="9"/>
      <c r="L735" s="8"/>
      <c r="M735" s="8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10"/>
      <c r="G736" s="10"/>
      <c r="H736" s="10"/>
      <c r="I736" s="10"/>
      <c r="J736" s="9"/>
      <c r="K736" s="9"/>
      <c r="L736" s="8"/>
      <c r="M736" s="8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10"/>
      <c r="G737" s="10"/>
      <c r="H737" s="10"/>
      <c r="I737" s="10"/>
      <c r="J737" s="9"/>
      <c r="K737" s="9"/>
      <c r="L737" s="8"/>
      <c r="M737" s="8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10"/>
      <c r="G738" s="10"/>
      <c r="H738" s="10"/>
      <c r="I738" s="10"/>
      <c r="J738" s="9"/>
      <c r="K738" s="9"/>
      <c r="L738" s="8"/>
      <c r="M738" s="8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10"/>
      <c r="G739" s="10"/>
      <c r="H739" s="10"/>
      <c r="I739" s="10"/>
      <c r="J739" s="9"/>
      <c r="K739" s="9"/>
      <c r="L739" s="8"/>
      <c r="M739" s="8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10"/>
      <c r="G740" s="10"/>
      <c r="H740" s="10"/>
      <c r="I740" s="10"/>
      <c r="J740" s="9"/>
      <c r="K740" s="9"/>
      <c r="L740" s="8"/>
      <c r="M740" s="8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10"/>
      <c r="G741" s="10"/>
      <c r="H741" s="10"/>
      <c r="I741" s="10"/>
      <c r="J741" s="9"/>
      <c r="K741" s="9"/>
      <c r="L741" s="8"/>
      <c r="M741" s="8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10"/>
      <c r="G742" s="10"/>
      <c r="H742" s="10"/>
      <c r="I742" s="10"/>
      <c r="J742" s="9"/>
      <c r="K742" s="9"/>
      <c r="L742" s="8"/>
      <c r="M742" s="8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10"/>
      <c r="G743" s="10"/>
      <c r="H743" s="10"/>
      <c r="I743" s="10"/>
      <c r="J743" s="9"/>
      <c r="K743" s="9"/>
      <c r="L743" s="8"/>
      <c r="M743" s="8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10"/>
      <c r="G744" s="10"/>
      <c r="H744" s="10"/>
      <c r="I744" s="10"/>
      <c r="J744" s="9"/>
      <c r="K744" s="9"/>
      <c r="L744" s="8"/>
      <c r="M744" s="8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10"/>
      <c r="G745" s="10"/>
      <c r="H745" s="10"/>
      <c r="I745" s="10"/>
      <c r="J745" s="9"/>
      <c r="K745" s="9"/>
      <c r="L745" s="8"/>
      <c r="M745" s="8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10"/>
      <c r="G746" s="10"/>
      <c r="H746" s="10"/>
      <c r="I746" s="10"/>
      <c r="J746" s="9"/>
      <c r="K746" s="9"/>
      <c r="L746" s="8"/>
      <c r="M746" s="8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10"/>
      <c r="G747" s="10"/>
      <c r="H747" s="10"/>
      <c r="I747" s="10"/>
      <c r="J747" s="9"/>
      <c r="K747" s="9"/>
      <c r="L747" s="8"/>
      <c r="M747" s="8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10"/>
      <c r="G748" s="10"/>
      <c r="H748" s="10"/>
      <c r="I748" s="10"/>
      <c r="J748" s="9"/>
      <c r="K748" s="9"/>
      <c r="L748" s="8"/>
      <c r="M748" s="8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10"/>
      <c r="G749" s="10"/>
      <c r="H749" s="10"/>
      <c r="I749" s="10"/>
      <c r="J749" s="9"/>
      <c r="K749" s="9"/>
      <c r="L749" s="8"/>
      <c r="M749" s="8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10"/>
      <c r="G750" s="10"/>
      <c r="H750" s="10"/>
      <c r="I750" s="10"/>
      <c r="J750" s="9"/>
      <c r="K750" s="9"/>
      <c r="L750" s="8"/>
      <c r="M750" s="8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10"/>
      <c r="G751" s="10"/>
      <c r="H751" s="10"/>
      <c r="I751" s="10"/>
      <c r="J751" s="9"/>
      <c r="K751" s="9"/>
      <c r="L751" s="8"/>
      <c r="M751" s="8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10"/>
      <c r="G752" s="10"/>
      <c r="H752" s="10"/>
      <c r="I752" s="10"/>
      <c r="J752" s="9"/>
      <c r="K752" s="9"/>
      <c r="L752" s="8"/>
      <c r="M752" s="8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10"/>
      <c r="G753" s="10"/>
      <c r="H753" s="10"/>
      <c r="I753" s="10"/>
      <c r="J753" s="9"/>
      <c r="K753" s="9"/>
      <c r="L753" s="8"/>
      <c r="M753" s="8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10"/>
      <c r="G754" s="10"/>
      <c r="H754" s="10"/>
      <c r="I754" s="10"/>
      <c r="J754" s="9"/>
      <c r="K754" s="9"/>
      <c r="L754" s="8"/>
      <c r="M754" s="8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10"/>
      <c r="G755" s="10"/>
      <c r="H755" s="10"/>
      <c r="I755" s="10"/>
      <c r="J755" s="9"/>
      <c r="K755" s="9"/>
      <c r="L755" s="8"/>
      <c r="M755" s="8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10"/>
      <c r="G756" s="10"/>
      <c r="H756" s="10"/>
      <c r="I756" s="10"/>
      <c r="J756" s="9"/>
      <c r="K756" s="9"/>
      <c r="L756" s="8"/>
      <c r="M756" s="8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10"/>
      <c r="G757" s="10"/>
      <c r="H757" s="10"/>
      <c r="I757" s="10"/>
      <c r="J757" s="9"/>
      <c r="K757" s="9"/>
      <c r="L757" s="8"/>
      <c r="M757" s="8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10"/>
      <c r="G758" s="10"/>
      <c r="H758" s="10"/>
      <c r="I758" s="10"/>
      <c r="J758" s="9"/>
      <c r="K758" s="9"/>
      <c r="L758" s="8"/>
      <c r="M758" s="8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10"/>
      <c r="G759" s="10"/>
      <c r="H759" s="10"/>
      <c r="I759" s="10"/>
      <c r="J759" s="9"/>
      <c r="K759" s="9"/>
      <c r="L759" s="8"/>
      <c r="M759" s="8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10"/>
      <c r="G760" s="10"/>
      <c r="H760" s="10"/>
      <c r="I760" s="10"/>
      <c r="J760" s="9"/>
      <c r="K760" s="9"/>
      <c r="L760" s="8"/>
      <c r="M760" s="8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10"/>
      <c r="G761" s="10"/>
      <c r="H761" s="10"/>
      <c r="I761" s="10"/>
      <c r="J761" s="9"/>
      <c r="K761" s="9"/>
      <c r="L761" s="8"/>
      <c r="M761" s="8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10"/>
      <c r="G762" s="10"/>
      <c r="H762" s="10"/>
      <c r="I762" s="10"/>
      <c r="J762" s="9"/>
      <c r="K762" s="9"/>
      <c r="L762" s="8"/>
      <c r="M762" s="8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10"/>
      <c r="G763" s="10"/>
      <c r="H763" s="10"/>
      <c r="I763" s="10"/>
      <c r="J763" s="9"/>
      <c r="K763" s="9"/>
      <c r="L763" s="8"/>
      <c r="M763" s="8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10"/>
      <c r="G764" s="10"/>
      <c r="H764" s="10"/>
      <c r="I764" s="10"/>
      <c r="J764" s="9"/>
      <c r="K764" s="9"/>
      <c r="L764" s="8"/>
      <c r="M764" s="8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10"/>
      <c r="G765" s="10"/>
      <c r="H765" s="10"/>
      <c r="I765" s="10"/>
      <c r="J765" s="9"/>
      <c r="K765" s="9"/>
      <c r="L765" s="8"/>
      <c r="M765" s="8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10"/>
      <c r="G766" s="10"/>
      <c r="H766" s="10"/>
      <c r="I766" s="10"/>
      <c r="J766" s="9"/>
      <c r="K766" s="9"/>
      <c r="L766" s="8"/>
      <c r="M766" s="8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10"/>
      <c r="G767" s="10"/>
      <c r="H767" s="10"/>
      <c r="I767" s="10"/>
      <c r="J767" s="9"/>
      <c r="K767" s="9"/>
      <c r="L767" s="8"/>
      <c r="M767" s="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10"/>
      <c r="G768" s="10"/>
      <c r="H768" s="10"/>
      <c r="I768" s="10"/>
      <c r="J768" s="9"/>
      <c r="K768" s="9"/>
      <c r="L768" s="8"/>
      <c r="M768" s="8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10"/>
      <c r="G769" s="10"/>
      <c r="H769" s="10"/>
      <c r="I769" s="10"/>
      <c r="J769" s="9"/>
      <c r="K769" s="9"/>
      <c r="L769" s="8"/>
      <c r="M769" s="8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10"/>
      <c r="G770" s="10"/>
      <c r="H770" s="10"/>
      <c r="I770" s="10"/>
      <c r="J770" s="9"/>
      <c r="K770" s="9"/>
      <c r="L770" s="8"/>
      <c r="M770" s="8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10"/>
      <c r="G771" s="10"/>
      <c r="H771" s="10"/>
      <c r="I771" s="10"/>
      <c r="J771" s="9"/>
      <c r="K771" s="9"/>
      <c r="L771" s="8"/>
      <c r="M771" s="8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10"/>
      <c r="G772" s="10"/>
      <c r="H772" s="10"/>
      <c r="I772" s="10"/>
      <c r="J772" s="9"/>
      <c r="K772" s="9"/>
      <c r="L772" s="8"/>
      <c r="M772" s="8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10"/>
      <c r="G773" s="10"/>
      <c r="H773" s="10"/>
      <c r="I773" s="10"/>
      <c r="J773" s="9"/>
      <c r="K773" s="9"/>
      <c r="L773" s="8"/>
      <c r="M773" s="8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10"/>
      <c r="G774" s="10"/>
      <c r="H774" s="10"/>
      <c r="I774" s="10"/>
      <c r="J774" s="9"/>
      <c r="K774" s="9"/>
      <c r="L774" s="8"/>
      <c r="M774" s="8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10"/>
      <c r="G775" s="10"/>
      <c r="H775" s="10"/>
      <c r="I775" s="10"/>
      <c r="J775" s="9"/>
      <c r="K775" s="9"/>
      <c r="L775" s="8"/>
      <c r="M775" s="8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10"/>
      <c r="G776" s="10"/>
      <c r="H776" s="10"/>
      <c r="I776" s="10"/>
      <c r="J776" s="9"/>
      <c r="K776" s="9"/>
      <c r="L776" s="8"/>
      <c r="M776" s="8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10"/>
      <c r="G777" s="10"/>
      <c r="H777" s="10"/>
      <c r="I777" s="10"/>
      <c r="J777" s="9"/>
      <c r="K777" s="9"/>
      <c r="L777" s="8"/>
      <c r="M777" s="8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10"/>
      <c r="G778" s="10"/>
      <c r="H778" s="10"/>
      <c r="I778" s="10"/>
      <c r="J778" s="9"/>
      <c r="K778" s="9"/>
      <c r="L778" s="8"/>
      <c r="M778" s="8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10"/>
      <c r="G779" s="10"/>
      <c r="H779" s="10"/>
      <c r="I779" s="10"/>
      <c r="J779" s="9"/>
      <c r="K779" s="9"/>
      <c r="L779" s="8"/>
      <c r="M779" s="8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10"/>
      <c r="G780" s="10"/>
      <c r="H780" s="10"/>
      <c r="I780" s="10"/>
      <c r="J780" s="9"/>
      <c r="K780" s="9"/>
      <c r="L780" s="8"/>
      <c r="M780" s="8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10"/>
      <c r="G781" s="10"/>
      <c r="H781" s="10"/>
      <c r="I781" s="10"/>
      <c r="J781" s="9"/>
      <c r="K781" s="9"/>
      <c r="L781" s="8"/>
      <c r="M781" s="8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10"/>
      <c r="G782" s="10"/>
      <c r="H782" s="10"/>
      <c r="I782" s="10"/>
      <c r="J782" s="9"/>
      <c r="K782" s="9"/>
      <c r="L782" s="8"/>
      <c r="M782" s="8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10"/>
      <c r="G783" s="10"/>
      <c r="H783" s="10"/>
      <c r="I783" s="10"/>
      <c r="J783" s="9"/>
      <c r="K783" s="9"/>
      <c r="L783" s="8"/>
      <c r="M783" s="8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10"/>
      <c r="G784" s="10"/>
      <c r="H784" s="10"/>
      <c r="I784" s="10"/>
      <c r="J784" s="9"/>
      <c r="K784" s="9"/>
      <c r="L784" s="8"/>
      <c r="M784" s="8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10"/>
      <c r="G785" s="10"/>
      <c r="H785" s="10"/>
      <c r="I785" s="10"/>
      <c r="J785" s="9"/>
      <c r="K785" s="9"/>
      <c r="L785" s="8"/>
      <c r="M785" s="8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10"/>
      <c r="G786" s="10"/>
      <c r="H786" s="10"/>
      <c r="I786" s="10"/>
      <c r="J786" s="9"/>
      <c r="K786" s="9"/>
      <c r="L786" s="8"/>
      <c r="M786" s="8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10"/>
      <c r="G787" s="10"/>
      <c r="H787" s="10"/>
      <c r="I787" s="10"/>
      <c r="J787" s="9"/>
      <c r="K787" s="9"/>
      <c r="L787" s="8"/>
      <c r="M787" s="8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10"/>
      <c r="G788" s="10"/>
      <c r="H788" s="10"/>
      <c r="I788" s="10"/>
      <c r="J788" s="9"/>
      <c r="K788" s="9"/>
      <c r="L788" s="8"/>
      <c r="M788" s="8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10"/>
      <c r="G789" s="10"/>
      <c r="H789" s="10"/>
      <c r="I789" s="10"/>
      <c r="J789" s="9"/>
      <c r="K789" s="9"/>
      <c r="L789" s="8"/>
      <c r="M789" s="8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10"/>
      <c r="G790" s="10"/>
      <c r="H790" s="10"/>
      <c r="I790" s="10"/>
      <c r="J790" s="9"/>
      <c r="K790" s="9"/>
      <c r="L790" s="8"/>
      <c r="M790" s="8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10"/>
      <c r="G791" s="10"/>
      <c r="H791" s="10"/>
      <c r="I791" s="10"/>
      <c r="J791" s="9"/>
      <c r="K791" s="9"/>
      <c r="L791" s="8"/>
      <c r="M791" s="8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10"/>
      <c r="G792" s="10"/>
      <c r="H792" s="10"/>
      <c r="I792" s="10"/>
      <c r="J792" s="9"/>
      <c r="K792" s="9"/>
      <c r="L792" s="8"/>
      <c r="M792" s="8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10"/>
      <c r="G793" s="10"/>
      <c r="H793" s="10"/>
      <c r="I793" s="10"/>
      <c r="J793" s="9"/>
      <c r="K793" s="9"/>
      <c r="L793" s="8"/>
      <c r="M793" s="8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10"/>
      <c r="G794" s="10"/>
      <c r="H794" s="10"/>
      <c r="I794" s="10"/>
      <c r="J794" s="9"/>
      <c r="K794" s="9"/>
      <c r="L794" s="8"/>
      <c r="M794" s="8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10"/>
      <c r="G795" s="10"/>
      <c r="H795" s="10"/>
      <c r="I795" s="10"/>
      <c r="J795" s="9"/>
      <c r="K795" s="9"/>
      <c r="L795" s="8"/>
      <c r="M795" s="8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10"/>
      <c r="G796" s="10"/>
      <c r="H796" s="10"/>
      <c r="I796" s="10"/>
      <c r="J796" s="9"/>
      <c r="K796" s="9"/>
      <c r="L796" s="8"/>
      <c r="M796" s="8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10"/>
      <c r="G797" s="10"/>
      <c r="H797" s="10"/>
      <c r="I797" s="10"/>
      <c r="J797" s="9"/>
      <c r="K797" s="9"/>
      <c r="L797" s="8"/>
      <c r="M797" s="8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10"/>
      <c r="G798" s="10"/>
      <c r="H798" s="10"/>
      <c r="I798" s="10"/>
      <c r="J798" s="9"/>
      <c r="K798" s="9"/>
      <c r="L798" s="8"/>
      <c r="M798" s="8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10"/>
      <c r="G799" s="10"/>
      <c r="H799" s="10"/>
      <c r="I799" s="10"/>
      <c r="J799" s="9"/>
      <c r="K799" s="9"/>
      <c r="L799" s="8"/>
      <c r="M799" s="8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10"/>
      <c r="G800" s="10"/>
      <c r="H800" s="10"/>
      <c r="I800" s="10"/>
      <c r="J800" s="9"/>
      <c r="K800" s="9"/>
      <c r="L800" s="8"/>
      <c r="M800" s="8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10"/>
      <c r="G801" s="10"/>
      <c r="H801" s="10"/>
      <c r="I801" s="10"/>
      <c r="J801" s="9"/>
      <c r="K801" s="9"/>
      <c r="L801" s="8"/>
      <c r="M801" s="8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10"/>
      <c r="G802" s="10"/>
      <c r="H802" s="10"/>
      <c r="I802" s="10"/>
      <c r="J802" s="9"/>
      <c r="K802" s="9"/>
      <c r="L802" s="8"/>
      <c r="M802" s="8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10"/>
      <c r="G803" s="10"/>
      <c r="H803" s="10"/>
      <c r="I803" s="10"/>
      <c r="J803" s="9"/>
      <c r="K803" s="9"/>
      <c r="L803" s="8"/>
      <c r="M803" s="8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10"/>
      <c r="G804" s="10"/>
      <c r="H804" s="10"/>
      <c r="I804" s="10"/>
      <c r="J804" s="9"/>
      <c r="K804" s="9"/>
      <c r="L804" s="8"/>
      <c r="M804" s="8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10"/>
      <c r="G805" s="10"/>
      <c r="H805" s="10"/>
      <c r="I805" s="10"/>
      <c r="J805" s="9"/>
      <c r="K805" s="9"/>
      <c r="L805" s="8"/>
      <c r="M805" s="8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10"/>
      <c r="G806" s="10"/>
      <c r="H806" s="10"/>
      <c r="I806" s="10"/>
      <c r="J806" s="9"/>
      <c r="K806" s="9"/>
      <c r="L806" s="8"/>
      <c r="M806" s="8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10"/>
      <c r="G807" s="10"/>
      <c r="H807" s="10"/>
      <c r="I807" s="10"/>
      <c r="J807" s="9"/>
      <c r="K807" s="9"/>
      <c r="L807" s="8"/>
      <c r="M807" s="8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10"/>
      <c r="G808" s="10"/>
      <c r="H808" s="10"/>
      <c r="I808" s="10"/>
      <c r="J808" s="9"/>
      <c r="K808" s="9"/>
      <c r="L808" s="8"/>
      <c r="M808" s="8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10"/>
      <c r="G809" s="10"/>
      <c r="H809" s="10"/>
      <c r="I809" s="10"/>
      <c r="J809" s="9"/>
      <c r="K809" s="9"/>
      <c r="L809" s="8"/>
      <c r="M809" s="8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10"/>
      <c r="G810" s="10"/>
      <c r="H810" s="10"/>
      <c r="I810" s="10"/>
      <c r="J810" s="9"/>
      <c r="K810" s="9"/>
      <c r="L810" s="8"/>
      <c r="M810" s="8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10"/>
      <c r="G811" s="10"/>
      <c r="H811" s="10"/>
      <c r="I811" s="10"/>
      <c r="J811" s="9"/>
      <c r="K811" s="9"/>
      <c r="L811" s="8"/>
      <c r="M811" s="8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10"/>
      <c r="G812" s="10"/>
      <c r="H812" s="10"/>
      <c r="I812" s="10"/>
      <c r="J812" s="9"/>
      <c r="K812" s="9"/>
      <c r="L812" s="8"/>
      <c r="M812" s="8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10"/>
      <c r="G813" s="10"/>
      <c r="H813" s="10"/>
      <c r="I813" s="10"/>
      <c r="J813" s="9"/>
      <c r="K813" s="9"/>
      <c r="L813" s="8"/>
      <c r="M813" s="8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10"/>
      <c r="G814" s="10"/>
      <c r="H814" s="10"/>
      <c r="I814" s="10"/>
      <c r="J814" s="9"/>
      <c r="K814" s="9"/>
      <c r="L814" s="8"/>
      <c r="M814" s="8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10"/>
      <c r="G815" s="10"/>
      <c r="H815" s="10"/>
      <c r="I815" s="10"/>
      <c r="J815" s="9"/>
      <c r="K815" s="9"/>
      <c r="L815" s="8"/>
      <c r="M815" s="8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10"/>
      <c r="G816" s="10"/>
      <c r="H816" s="10"/>
      <c r="I816" s="10"/>
      <c r="J816" s="9"/>
      <c r="K816" s="9"/>
      <c r="L816" s="8"/>
      <c r="M816" s="8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10"/>
      <c r="G817" s="10"/>
      <c r="H817" s="10"/>
      <c r="I817" s="10"/>
      <c r="J817" s="9"/>
      <c r="K817" s="9"/>
      <c r="L817" s="8"/>
      <c r="M817" s="8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10"/>
      <c r="G818" s="10"/>
      <c r="H818" s="10"/>
      <c r="I818" s="10"/>
      <c r="J818" s="9"/>
      <c r="K818" s="9"/>
      <c r="L818" s="8"/>
      <c r="M818" s="8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10"/>
      <c r="G819" s="10"/>
      <c r="H819" s="10"/>
      <c r="I819" s="10"/>
      <c r="J819" s="9"/>
      <c r="K819" s="9"/>
      <c r="L819" s="8"/>
      <c r="M819" s="8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10"/>
      <c r="G820" s="10"/>
      <c r="H820" s="10"/>
      <c r="I820" s="10"/>
      <c r="J820" s="9"/>
      <c r="K820" s="9"/>
      <c r="L820" s="8"/>
      <c r="M820" s="8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10"/>
      <c r="G821" s="10"/>
      <c r="H821" s="10"/>
      <c r="I821" s="10"/>
      <c r="J821" s="9"/>
      <c r="K821" s="9"/>
      <c r="L821" s="8"/>
      <c r="M821" s="8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10"/>
      <c r="G822" s="10"/>
      <c r="H822" s="10"/>
      <c r="I822" s="10"/>
      <c r="J822" s="9"/>
      <c r="K822" s="9"/>
      <c r="L822" s="8"/>
      <c r="M822" s="8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10"/>
      <c r="G823" s="10"/>
      <c r="H823" s="10"/>
      <c r="I823" s="10"/>
      <c r="J823" s="9"/>
      <c r="K823" s="9"/>
      <c r="L823" s="8"/>
      <c r="M823" s="8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10"/>
      <c r="G824" s="10"/>
      <c r="H824" s="10"/>
      <c r="I824" s="10"/>
      <c r="J824" s="9"/>
      <c r="K824" s="9"/>
      <c r="L824" s="8"/>
      <c r="M824" s="8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10"/>
      <c r="G825" s="10"/>
      <c r="H825" s="10"/>
      <c r="I825" s="10"/>
      <c r="J825" s="9"/>
      <c r="K825" s="9"/>
      <c r="L825" s="8"/>
      <c r="M825" s="8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10"/>
      <c r="G826" s="10"/>
      <c r="H826" s="10"/>
      <c r="I826" s="10"/>
      <c r="J826" s="9"/>
      <c r="K826" s="9"/>
      <c r="L826" s="8"/>
      <c r="M826" s="8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10"/>
      <c r="G827" s="10"/>
      <c r="H827" s="10"/>
      <c r="I827" s="10"/>
      <c r="J827" s="9"/>
      <c r="K827" s="9"/>
      <c r="L827" s="8"/>
      <c r="M827" s="8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10"/>
      <c r="G828" s="10"/>
      <c r="H828" s="10"/>
      <c r="I828" s="10"/>
      <c r="J828" s="9"/>
      <c r="K828" s="9"/>
      <c r="L828" s="8"/>
      <c r="M828" s="8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10"/>
      <c r="G829" s="10"/>
      <c r="H829" s="10"/>
      <c r="I829" s="10"/>
      <c r="J829" s="9"/>
      <c r="K829" s="9"/>
      <c r="L829" s="8"/>
      <c r="M829" s="8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10"/>
      <c r="G830" s="10"/>
      <c r="H830" s="10"/>
      <c r="I830" s="10"/>
      <c r="J830" s="9"/>
      <c r="K830" s="9"/>
      <c r="L830" s="8"/>
      <c r="M830" s="8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10"/>
      <c r="G831" s="10"/>
      <c r="H831" s="10"/>
      <c r="I831" s="10"/>
      <c r="J831" s="9"/>
      <c r="K831" s="9"/>
      <c r="L831" s="8"/>
      <c r="M831" s="8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10"/>
      <c r="G832" s="10"/>
      <c r="H832" s="10"/>
      <c r="I832" s="10"/>
      <c r="J832" s="9"/>
      <c r="K832" s="9"/>
      <c r="L832" s="8"/>
      <c r="M832" s="8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10"/>
      <c r="G833" s="10"/>
      <c r="H833" s="10"/>
      <c r="I833" s="10"/>
      <c r="J833" s="9"/>
      <c r="K833" s="9"/>
      <c r="L833" s="8"/>
      <c r="M833" s="8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10"/>
      <c r="G834" s="10"/>
      <c r="H834" s="10"/>
      <c r="I834" s="10"/>
      <c r="J834" s="9"/>
      <c r="K834" s="9"/>
      <c r="L834" s="8"/>
      <c r="M834" s="8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10"/>
      <c r="G835" s="10"/>
      <c r="H835" s="10"/>
      <c r="I835" s="10"/>
      <c r="J835" s="9"/>
      <c r="K835" s="9"/>
      <c r="L835" s="8"/>
      <c r="M835" s="8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10"/>
      <c r="G836" s="10"/>
      <c r="H836" s="10"/>
      <c r="I836" s="10"/>
      <c r="J836" s="9"/>
      <c r="K836" s="9"/>
      <c r="L836" s="8"/>
      <c r="M836" s="8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10"/>
      <c r="G837" s="10"/>
      <c r="H837" s="10"/>
      <c r="I837" s="10"/>
      <c r="J837" s="9"/>
      <c r="K837" s="9"/>
      <c r="L837" s="8"/>
      <c r="M837" s="8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10"/>
      <c r="G838" s="10"/>
      <c r="H838" s="10"/>
      <c r="I838" s="10"/>
      <c r="J838" s="9"/>
      <c r="K838" s="9"/>
      <c r="L838" s="8"/>
      <c r="M838" s="8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10"/>
      <c r="G839" s="10"/>
      <c r="H839" s="10"/>
      <c r="I839" s="10"/>
      <c r="J839" s="9"/>
      <c r="K839" s="9"/>
      <c r="L839" s="8"/>
      <c r="M839" s="8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10"/>
      <c r="G840" s="10"/>
      <c r="H840" s="10"/>
      <c r="I840" s="10"/>
      <c r="J840" s="9"/>
      <c r="K840" s="9"/>
      <c r="L840" s="8"/>
      <c r="M840" s="8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10"/>
      <c r="G841" s="10"/>
      <c r="H841" s="10"/>
      <c r="I841" s="10"/>
      <c r="J841" s="9"/>
      <c r="K841" s="9"/>
      <c r="L841" s="8"/>
      <c r="M841" s="8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10"/>
      <c r="G842" s="10"/>
      <c r="H842" s="10"/>
      <c r="I842" s="10"/>
      <c r="J842" s="9"/>
      <c r="K842" s="9"/>
      <c r="L842" s="8"/>
      <c r="M842" s="8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10"/>
      <c r="G843" s="10"/>
      <c r="H843" s="10"/>
      <c r="I843" s="10"/>
      <c r="J843" s="9"/>
      <c r="K843" s="9"/>
      <c r="L843" s="8"/>
      <c r="M843" s="8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10"/>
      <c r="G844" s="10"/>
      <c r="H844" s="10"/>
      <c r="I844" s="10"/>
      <c r="J844" s="9"/>
      <c r="K844" s="9"/>
      <c r="L844" s="8"/>
      <c r="M844" s="8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10"/>
      <c r="G845" s="10"/>
      <c r="H845" s="10"/>
      <c r="I845" s="10"/>
      <c r="J845" s="9"/>
      <c r="K845" s="9"/>
      <c r="L845" s="8"/>
      <c r="M845" s="8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10"/>
      <c r="G846" s="10"/>
      <c r="H846" s="10"/>
      <c r="I846" s="10"/>
      <c r="J846" s="9"/>
      <c r="K846" s="9"/>
      <c r="L846" s="8"/>
      <c r="M846" s="8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10"/>
      <c r="G847" s="10"/>
      <c r="H847" s="10"/>
      <c r="I847" s="10"/>
      <c r="J847" s="9"/>
      <c r="K847" s="9"/>
      <c r="L847" s="8"/>
      <c r="M847" s="8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10"/>
      <c r="G848" s="10"/>
      <c r="H848" s="10"/>
      <c r="I848" s="10"/>
      <c r="J848" s="9"/>
      <c r="K848" s="9"/>
      <c r="L848" s="8"/>
      <c r="M848" s="8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10"/>
      <c r="G849" s="10"/>
      <c r="H849" s="10"/>
      <c r="I849" s="10"/>
      <c r="J849" s="9"/>
      <c r="K849" s="9"/>
      <c r="L849" s="8"/>
      <c r="M849" s="8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10"/>
      <c r="G850" s="10"/>
      <c r="H850" s="10"/>
      <c r="I850" s="10"/>
      <c r="J850" s="9"/>
      <c r="K850" s="9"/>
      <c r="L850" s="8"/>
      <c r="M850" s="8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10"/>
      <c r="G851" s="10"/>
      <c r="H851" s="10"/>
      <c r="I851" s="10"/>
      <c r="J851" s="9"/>
      <c r="K851" s="9"/>
      <c r="L851" s="8"/>
      <c r="M851" s="8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10"/>
      <c r="G852" s="10"/>
      <c r="H852" s="10"/>
      <c r="I852" s="10"/>
      <c r="J852" s="9"/>
      <c r="K852" s="9"/>
      <c r="L852" s="8"/>
      <c r="M852" s="8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10"/>
      <c r="G853" s="10"/>
      <c r="H853" s="10"/>
      <c r="I853" s="10"/>
      <c r="J853" s="9"/>
      <c r="K853" s="9"/>
      <c r="L853" s="8"/>
      <c r="M853" s="8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10"/>
      <c r="G854" s="10"/>
      <c r="H854" s="10"/>
      <c r="I854" s="10"/>
      <c r="J854" s="9"/>
      <c r="K854" s="9"/>
      <c r="L854" s="8"/>
      <c r="M854" s="8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10"/>
      <c r="G855" s="10"/>
      <c r="H855" s="10"/>
      <c r="I855" s="10"/>
      <c r="J855" s="9"/>
      <c r="K855" s="9"/>
      <c r="L855" s="8"/>
      <c r="M855" s="8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10"/>
      <c r="G856" s="10"/>
      <c r="H856" s="10"/>
      <c r="I856" s="10"/>
      <c r="J856" s="9"/>
      <c r="K856" s="9"/>
      <c r="L856" s="8"/>
      <c r="M856" s="8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10"/>
      <c r="G857" s="10"/>
      <c r="H857" s="10"/>
      <c r="I857" s="10"/>
      <c r="J857" s="9"/>
      <c r="K857" s="9"/>
      <c r="L857" s="8"/>
      <c r="M857" s="8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10"/>
      <c r="G858" s="10"/>
      <c r="H858" s="10"/>
      <c r="I858" s="10"/>
      <c r="J858" s="9"/>
      <c r="K858" s="9"/>
      <c r="L858" s="8"/>
      <c r="M858" s="8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10"/>
      <c r="G859" s="10"/>
      <c r="H859" s="10"/>
      <c r="I859" s="10"/>
      <c r="J859" s="9"/>
      <c r="K859" s="9"/>
      <c r="L859" s="8"/>
      <c r="M859" s="8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10"/>
      <c r="G860" s="10"/>
      <c r="H860" s="10"/>
      <c r="I860" s="10"/>
      <c r="J860" s="9"/>
      <c r="K860" s="9"/>
      <c r="L860" s="8"/>
      <c r="M860" s="8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10"/>
      <c r="G861" s="10"/>
      <c r="H861" s="10"/>
      <c r="I861" s="10"/>
      <c r="J861" s="9"/>
      <c r="K861" s="9"/>
      <c r="L861" s="8"/>
      <c r="M861" s="8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10"/>
      <c r="G862" s="10"/>
      <c r="H862" s="10"/>
      <c r="I862" s="10"/>
      <c r="J862" s="9"/>
      <c r="K862" s="9"/>
      <c r="L862" s="8"/>
      <c r="M862" s="8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10"/>
      <c r="G863" s="10"/>
      <c r="H863" s="10"/>
      <c r="I863" s="10"/>
      <c r="J863" s="9"/>
      <c r="K863" s="9"/>
      <c r="L863" s="8"/>
      <c r="M863" s="8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10"/>
      <c r="G864" s="10"/>
      <c r="H864" s="10"/>
      <c r="I864" s="10"/>
      <c r="J864" s="9"/>
      <c r="K864" s="9"/>
      <c r="L864" s="8"/>
      <c r="M864" s="8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10"/>
      <c r="G865" s="10"/>
      <c r="H865" s="10"/>
      <c r="I865" s="10"/>
      <c r="J865" s="9"/>
      <c r="K865" s="9"/>
      <c r="L865" s="8"/>
      <c r="M865" s="8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10"/>
      <c r="G866" s="10"/>
      <c r="H866" s="10"/>
      <c r="I866" s="10"/>
      <c r="J866" s="9"/>
      <c r="K866" s="9"/>
      <c r="L866" s="8"/>
      <c r="M866" s="8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10"/>
      <c r="G867" s="10"/>
      <c r="H867" s="10"/>
      <c r="I867" s="10"/>
      <c r="J867" s="9"/>
      <c r="K867" s="9"/>
      <c r="L867" s="8"/>
      <c r="M867" s="8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10"/>
      <c r="G868" s="10"/>
      <c r="H868" s="10"/>
      <c r="I868" s="10"/>
      <c r="J868" s="9"/>
      <c r="K868" s="9"/>
      <c r="L868" s="8"/>
      <c r="M868" s="8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10"/>
      <c r="G869" s="10"/>
      <c r="H869" s="10"/>
      <c r="I869" s="10"/>
      <c r="J869" s="9"/>
      <c r="K869" s="9"/>
      <c r="L869" s="8"/>
      <c r="M869" s="8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10"/>
      <c r="G870" s="10"/>
      <c r="H870" s="10"/>
      <c r="I870" s="10"/>
      <c r="J870" s="9"/>
      <c r="K870" s="9"/>
      <c r="L870" s="8"/>
      <c r="M870" s="8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10"/>
      <c r="G871" s="10"/>
      <c r="H871" s="10"/>
      <c r="I871" s="10"/>
      <c r="J871" s="9"/>
      <c r="K871" s="9"/>
      <c r="L871" s="8"/>
      <c r="M871" s="8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10"/>
      <c r="G872" s="10"/>
      <c r="H872" s="10"/>
      <c r="I872" s="10"/>
      <c r="J872" s="9"/>
      <c r="K872" s="9"/>
      <c r="L872" s="8"/>
      <c r="M872" s="8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10"/>
      <c r="G873" s="10"/>
      <c r="H873" s="10"/>
      <c r="I873" s="10"/>
      <c r="J873" s="9"/>
      <c r="K873" s="9"/>
      <c r="L873" s="8"/>
      <c r="M873" s="8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10"/>
      <c r="G874" s="10"/>
      <c r="H874" s="10"/>
      <c r="I874" s="10"/>
      <c r="J874" s="9"/>
      <c r="K874" s="9"/>
      <c r="L874" s="8"/>
      <c r="M874" s="8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10"/>
      <c r="G875" s="10"/>
      <c r="H875" s="10"/>
      <c r="I875" s="10"/>
      <c r="J875" s="9"/>
      <c r="K875" s="9"/>
      <c r="L875" s="8"/>
      <c r="M875" s="8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10"/>
      <c r="G876" s="10"/>
      <c r="H876" s="10"/>
      <c r="I876" s="10"/>
      <c r="J876" s="9"/>
      <c r="K876" s="9"/>
      <c r="L876" s="8"/>
      <c r="M876" s="8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10"/>
      <c r="G877" s="10"/>
      <c r="H877" s="10"/>
      <c r="I877" s="10"/>
      <c r="J877" s="9"/>
      <c r="K877" s="9"/>
      <c r="L877" s="8"/>
      <c r="M877" s="8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10"/>
      <c r="G878" s="10"/>
      <c r="H878" s="10"/>
      <c r="I878" s="10"/>
      <c r="J878" s="9"/>
      <c r="K878" s="9"/>
      <c r="L878" s="8"/>
      <c r="M878" s="8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10"/>
      <c r="G879" s="10"/>
      <c r="H879" s="10"/>
      <c r="I879" s="10"/>
      <c r="J879" s="9"/>
      <c r="K879" s="9"/>
      <c r="L879" s="8"/>
      <c r="M879" s="8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10"/>
      <c r="G880" s="10"/>
      <c r="H880" s="10"/>
      <c r="I880" s="10"/>
      <c r="J880" s="9"/>
      <c r="K880" s="9"/>
      <c r="L880" s="8"/>
      <c r="M880" s="8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10"/>
      <c r="G881" s="10"/>
      <c r="H881" s="10"/>
      <c r="I881" s="10"/>
      <c r="J881" s="9"/>
      <c r="K881" s="9"/>
      <c r="L881" s="8"/>
      <c r="M881" s="8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10"/>
      <c r="G882" s="10"/>
      <c r="H882" s="10"/>
      <c r="I882" s="10"/>
      <c r="J882" s="9"/>
      <c r="K882" s="9"/>
      <c r="L882" s="8"/>
      <c r="M882" s="8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10"/>
      <c r="G883" s="10"/>
      <c r="H883" s="10"/>
      <c r="I883" s="10"/>
      <c r="J883" s="9"/>
      <c r="K883" s="9"/>
      <c r="L883" s="8"/>
      <c r="M883" s="8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10"/>
      <c r="G884" s="10"/>
      <c r="H884" s="10"/>
      <c r="I884" s="10"/>
      <c r="J884" s="9"/>
      <c r="K884" s="9"/>
      <c r="L884" s="8"/>
      <c r="M884" s="8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10"/>
      <c r="G885" s="10"/>
      <c r="H885" s="10"/>
      <c r="I885" s="10"/>
      <c r="J885" s="9"/>
      <c r="K885" s="9"/>
      <c r="L885" s="8"/>
      <c r="M885" s="8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10"/>
      <c r="G886" s="10"/>
      <c r="H886" s="10"/>
      <c r="I886" s="10"/>
      <c r="J886" s="9"/>
      <c r="K886" s="9"/>
      <c r="L886" s="8"/>
      <c r="M886" s="8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10"/>
      <c r="G887" s="10"/>
      <c r="H887" s="10"/>
      <c r="I887" s="10"/>
      <c r="J887" s="9"/>
      <c r="K887" s="9"/>
      <c r="L887" s="8"/>
      <c r="M887" s="8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10"/>
      <c r="G888" s="10"/>
      <c r="H888" s="10"/>
      <c r="I888" s="10"/>
      <c r="J888" s="9"/>
      <c r="K888" s="9"/>
      <c r="L888" s="8"/>
      <c r="M888" s="8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10"/>
      <c r="G889" s="10"/>
      <c r="H889" s="10"/>
      <c r="I889" s="10"/>
      <c r="J889" s="9"/>
      <c r="K889" s="9"/>
      <c r="L889" s="8"/>
      <c r="M889" s="8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10"/>
      <c r="G890" s="10"/>
      <c r="H890" s="10"/>
      <c r="I890" s="10"/>
      <c r="J890" s="9"/>
      <c r="K890" s="9"/>
      <c r="L890" s="8"/>
      <c r="M890" s="8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10"/>
      <c r="G891" s="10"/>
      <c r="H891" s="10"/>
      <c r="I891" s="10"/>
      <c r="J891" s="9"/>
      <c r="K891" s="9"/>
      <c r="L891" s="8"/>
      <c r="M891" s="8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10"/>
      <c r="G892" s="10"/>
      <c r="H892" s="10"/>
      <c r="I892" s="10"/>
      <c r="J892" s="9"/>
      <c r="K892" s="9"/>
      <c r="L892" s="8"/>
      <c r="M892" s="8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10"/>
      <c r="G893" s="10"/>
      <c r="H893" s="10"/>
      <c r="I893" s="10"/>
      <c r="J893" s="9"/>
      <c r="K893" s="9"/>
      <c r="L893" s="8"/>
      <c r="M893" s="8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10"/>
      <c r="G894" s="10"/>
      <c r="H894" s="10"/>
      <c r="I894" s="10"/>
      <c r="J894" s="9"/>
      <c r="K894" s="9"/>
      <c r="L894" s="8"/>
      <c r="M894" s="8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10"/>
      <c r="G895" s="10"/>
      <c r="H895" s="10"/>
      <c r="I895" s="10"/>
      <c r="J895" s="9"/>
      <c r="K895" s="9"/>
      <c r="L895" s="8"/>
      <c r="M895" s="8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10"/>
      <c r="G896" s="10"/>
      <c r="H896" s="10"/>
      <c r="I896" s="10"/>
      <c r="J896" s="9"/>
      <c r="K896" s="9"/>
      <c r="L896" s="8"/>
      <c r="M896" s="8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10"/>
      <c r="G897" s="10"/>
      <c r="H897" s="10"/>
      <c r="I897" s="10"/>
      <c r="J897" s="9"/>
      <c r="K897" s="9"/>
      <c r="L897" s="8"/>
      <c r="M897" s="8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10"/>
      <c r="G898" s="10"/>
      <c r="H898" s="10"/>
      <c r="I898" s="10"/>
      <c r="J898" s="9"/>
      <c r="K898" s="9"/>
      <c r="L898" s="8"/>
      <c r="M898" s="8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10"/>
      <c r="G899" s="10"/>
      <c r="H899" s="10"/>
      <c r="I899" s="10"/>
      <c r="J899" s="9"/>
      <c r="K899" s="9"/>
      <c r="L899" s="8"/>
      <c r="M899" s="8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10"/>
      <c r="G900" s="10"/>
      <c r="H900" s="10"/>
      <c r="I900" s="10"/>
      <c r="J900" s="9"/>
      <c r="K900" s="9"/>
      <c r="L900" s="8"/>
      <c r="M900" s="8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10"/>
      <c r="G901" s="10"/>
      <c r="H901" s="10"/>
      <c r="I901" s="10"/>
      <c r="J901" s="9"/>
      <c r="K901" s="9"/>
      <c r="L901" s="8"/>
      <c r="M901" s="8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10"/>
      <c r="G902" s="10"/>
      <c r="H902" s="10"/>
      <c r="I902" s="10"/>
      <c r="J902" s="9"/>
      <c r="K902" s="9"/>
      <c r="L902" s="8"/>
      <c r="M902" s="8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10"/>
      <c r="G903" s="10"/>
      <c r="H903" s="10"/>
      <c r="I903" s="10"/>
      <c r="J903" s="9"/>
      <c r="K903" s="9"/>
      <c r="L903" s="8"/>
      <c r="M903" s="8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10"/>
      <c r="G904" s="10"/>
      <c r="H904" s="10"/>
      <c r="I904" s="10"/>
      <c r="J904" s="9"/>
      <c r="K904" s="9"/>
      <c r="L904" s="8"/>
      <c r="M904" s="8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10"/>
      <c r="G905" s="10"/>
      <c r="H905" s="10"/>
      <c r="I905" s="10"/>
      <c r="J905" s="9"/>
      <c r="K905" s="9"/>
      <c r="L905" s="8"/>
      <c r="M905" s="8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10"/>
      <c r="G906" s="10"/>
      <c r="H906" s="10"/>
      <c r="I906" s="10"/>
      <c r="J906" s="9"/>
      <c r="K906" s="9"/>
      <c r="L906" s="8"/>
      <c r="M906" s="8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10"/>
      <c r="G907" s="10"/>
      <c r="H907" s="10"/>
      <c r="I907" s="10"/>
      <c r="J907" s="9"/>
      <c r="K907" s="9"/>
      <c r="L907" s="8"/>
      <c r="M907" s="8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10"/>
      <c r="G908" s="10"/>
      <c r="H908" s="10"/>
      <c r="I908" s="10"/>
      <c r="J908" s="9"/>
      <c r="K908" s="9"/>
      <c r="L908" s="8"/>
      <c r="M908" s="8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10"/>
      <c r="G909" s="10"/>
      <c r="H909" s="10"/>
      <c r="I909" s="10"/>
      <c r="J909" s="9"/>
      <c r="K909" s="9"/>
      <c r="L909" s="8"/>
      <c r="M909" s="8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10"/>
      <c r="G910" s="10"/>
      <c r="H910" s="10"/>
      <c r="I910" s="10"/>
      <c r="J910" s="9"/>
      <c r="K910" s="9"/>
      <c r="L910" s="8"/>
      <c r="M910" s="8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10"/>
      <c r="G911" s="10"/>
      <c r="H911" s="10"/>
      <c r="I911" s="10"/>
      <c r="J911" s="9"/>
      <c r="K911" s="9"/>
      <c r="L911" s="8"/>
      <c r="M911" s="8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10"/>
      <c r="G912" s="10"/>
      <c r="H912" s="10"/>
      <c r="I912" s="10"/>
      <c r="J912" s="9"/>
      <c r="K912" s="9"/>
      <c r="L912" s="8"/>
      <c r="M912" s="8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10"/>
      <c r="G913" s="10"/>
      <c r="H913" s="10"/>
      <c r="I913" s="10"/>
      <c r="J913" s="9"/>
      <c r="K913" s="9"/>
      <c r="L913" s="8"/>
      <c r="M913" s="8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10"/>
      <c r="G914" s="10"/>
      <c r="H914" s="10"/>
      <c r="I914" s="10"/>
      <c r="J914" s="9"/>
      <c r="K914" s="9"/>
      <c r="L914" s="8"/>
      <c r="M914" s="8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10"/>
      <c r="G915" s="10"/>
      <c r="H915" s="10"/>
      <c r="I915" s="10"/>
      <c r="J915" s="9"/>
      <c r="K915" s="9"/>
      <c r="L915" s="8"/>
      <c r="M915" s="8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10"/>
      <c r="G916" s="10"/>
      <c r="H916" s="10"/>
      <c r="I916" s="10"/>
      <c r="J916" s="9"/>
      <c r="K916" s="9"/>
      <c r="L916" s="8"/>
      <c r="M916" s="8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10"/>
      <c r="G917" s="10"/>
      <c r="H917" s="10"/>
      <c r="I917" s="10"/>
      <c r="J917" s="9"/>
      <c r="K917" s="9"/>
      <c r="L917" s="8"/>
      <c r="M917" s="8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10"/>
      <c r="G918" s="10"/>
      <c r="H918" s="10"/>
      <c r="I918" s="10"/>
      <c r="J918" s="9"/>
      <c r="K918" s="9"/>
      <c r="L918" s="8"/>
      <c r="M918" s="8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10"/>
      <c r="G919" s="10"/>
      <c r="H919" s="10"/>
      <c r="I919" s="10"/>
      <c r="J919" s="9"/>
      <c r="K919" s="9"/>
      <c r="L919" s="8"/>
      <c r="M919" s="8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10"/>
      <c r="G920" s="10"/>
      <c r="H920" s="10"/>
      <c r="I920" s="10"/>
      <c r="J920" s="9"/>
      <c r="K920" s="9"/>
      <c r="L920" s="8"/>
      <c r="M920" s="8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10"/>
      <c r="G921" s="10"/>
      <c r="H921" s="10"/>
      <c r="I921" s="10"/>
      <c r="J921" s="9"/>
      <c r="K921" s="9"/>
      <c r="L921" s="8"/>
      <c r="M921" s="8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10"/>
      <c r="G922" s="10"/>
      <c r="H922" s="10"/>
      <c r="I922" s="10"/>
      <c r="J922" s="9"/>
      <c r="K922" s="9"/>
      <c r="L922" s="8"/>
      <c r="M922" s="8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10"/>
      <c r="G923" s="10"/>
      <c r="H923" s="10"/>
      <c r="I923" s="10"/>
      <c r="J923" s="9"/>
      <c r="K923" s="9"/>
      <c r="L923" s="8"/>
      <c r="M923" s="8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10"/>
      <c r="G924" s="10"/>
      <c r="H924" s="10"/>
      <c r="I924" s="10"/>
      <c r="J924" s="9"/>
      <c r="K924" s="9"/>
      <c r="L924" s="8"/>
      <c r="M924" s="8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10"/>
      <c r="G925" s="10"/>
      <c r="H925" s="10"/>
      <c r="I925" s="10"/>
      <c r="J925" s="9"/>
      <c r="K925" s="9"/>
      <c r="L925" s="8"/>
      <c r="M925" s="8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10"/>
      <c r="G926" s="10"/>
      <c r="H926" s="10"/>
      <c r="I926" s="10"/>
      <c r="J926" s="9"/>
      <c r="K926" s="9"/>
      <c r="L926" s="8"/>
      <c r="M926" s="8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10"/>
      <c r="G927" s="10"/>
      <c r="H927" s="10"/>
      <c r="I927" s="10"/>
      <c r="J927" s="9"/>
      <c r="K927" s="9"/>
      <c r="L927" s="8"/>
      <c r="M927" s="8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10"/>
      <c r="G928" s="10"/>
      <c r="H928" s="10"/>
      <c r="I928" s="10"/>
      <c r="J928" s="9"/>
      <c r="K928" s="9"/>
      <c r="L928" s="8"/>
      <c r="M928" s="8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10"/>
      <c r="G929" s="10"/>
      <c r="H929" s="10"/>
      <c r="I929" s="10"/>
      <c r="J929" s="9"/>
      <c r="K929" s="9"/>
      <c r="L929" s="8"/>
      <c r="M929" s="8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10"/>
      <c r="G930" s="10"/>
      <c r="H930" s="10"/>
      <c r="I930" s="10"/>
      <c r="J930" s="9"/>
      <c r="K930" s="9"/>
      <c r="L930" s="8"/>
      <c r="M930" s="8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10"/>
      <c r="G931" s="10"/>
      <c r="H931" s="10"/>
      <c r="I931" s="10"/>
      <c r="J931" s="9"/>
      <c r="K931" s="9"/>
      <c r="L931" s="8"/>
      <c r="M931" s="8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10"/>
      <c r="G932" s="10"/>
      <c r="H932" s="10"/>
      <c r="I932" s="10"/>
      <c r="J932" s="9"/>
      <c r="K932" s="9"/>
      <c r="L932" s="8"/>
      <c r="M932" s="8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10"/>
      <c r="G933" s="10"/>
      <c r="H933" s="10"/>
      <c r="I933" s="10"/>
      <c r="J933" s="9"/>
      <c r="K933" s="9"/>
      <c r="L933" s="8"/>
      <c r="M933" s="8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10"/>
      <c r="G934" s="10"/>
      <c r="H934" s="10"/>
      <c r="I934" s="10"/>
      <c r="J934" s="9"/>
      <c r="K934" s="9"/>
      <c r="L934" s="8"/>
      <c r="M934" s="8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10"/>
      <c r="G935" s="10"/>
      <c r="H935" s="10"/>
      <c r="I935" s="10"/>
      <c r="J935" s="9"/>
      <c r="K935" s="9"/>
      <c r="L935" s="8"/>
      <c r="M935" s="8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10"/>
      <c r="G936" s="10"/>
      <c r="H936" s="10"/>
      <c r="I936" s="10"/>
      <c r="J936" s="9"/>
      <c r="K936" s="9"/>
      <c r="L936" s="8"/>
      <c r="M936" s="8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10"/>
      <c r="G937" s="10"/>
      <c r="H937" s="10"/>
      <c r="I937" s="10"/>
      <c r="J937" s="9"/>
      <c r="K937" s="9"/>
      <c r="L937" s="8"/>
      <c r="M937" s="8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10"/>
      <c r="G938" s="10"/>
      <c r="H938" s="10"/>
      <c r="I938" s="10"/>
      <c r="J938" s="9"/>
      <c r="K938" s="9"/>
      <c r="L938" s="8"/>
      <c r="M938" s="8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10"/>
      <c r="G939" s="10"/>
      <c r="H939" s="10"/>
      <c r="I939" s="10"/>
      <c r="J939" s="9"/>
      <c r="K939" s="9"/>
      <c r="L939" s="8"/>
      <c r="M939" s="8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10"/>
      <c r="G940" s="10"/>
      <c r="H940" s="10"/>
      <c r="I940" s="10"/>
      <c r="J940" s="9"/>
      <c r="K940" s="9"/>
      <c r="L940" s="8"/>
      <c r="M940" s="8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10"/>
      <c r="G941" s="10"/>
      <c r="H941" s="10"/>
      <c r="I941" s="10"/>
      <c r="J941" s="9"/>
      <c r="K941" s="9"/>
      <c r="L941" s="8"/>
      <c r="M941" s="8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10"/>
      <c r="G942" s="10"/>
      <c r="H942" s="10"/>
      <c r="I942" s="10"/>
      <c r="J942" s="9"/>
      <c r="K942" s="9"/>
      <c r="L942" s="8"/>
      <c r="M942" s="8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10"/>
      <c r="G943" s="10"/>
      <c r="H943" s="10"/>
      <c r="I943" s="10"/>
      <c r="J943" s="9"/>
      <c r="K943" s="9"/>
      <c r="L943" s="8"/>
      <c r="M943" s="8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10"/>
      <c r="G944" s="10"/>
      <c r="H944" s="10"/>
      <c r="I944" s="10"/>
      <c r="J944" s="9"/>
      <c r="K944" s="9"/>
      <c r="L944" s="8"/>
      <c r="M944" s="8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10"/>
      <c r="G945" s="10"/>
      <c r="H945" s="10"/>
      <c r="I945" s="10"/>
      <c r="J945" s="9"/>
      <c r="K945" s="9"/>
      <c r="L945" s="8"/>
      <c r="M945" s="8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10"/>
      <c r="G946" s="10"/>
      <c r="H946" s="10"/>
      <c r="I946" s="10"/>
      <c r="J946" s="9"/>
      <c r="K946" s="9"/>
      <c r="L946" s="8"/>
      <c r="M946" s="8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10"/>
      <c r="G947" s="10"/>
      <c r="H947" s="10"/>
      <c r="I947" s="10"/>
      <c r="J947" s="9"/>
      <c r="K947" s="9"/>
      <c r="L947" s="8"/>
      <c r="M947" s="8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10"/>
      <c r="G948" s="10"/>
      <c r="H948" s="10"/>
      <c r="I948" s="10"/>
      <c r="J948" s="9"/>
      <c r="K948" s="9"/>
      <c r="L948" s="8"/>
      <c r="M948" s="8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10"/>
      <c r="G949" s="10"/>
      <c r="H949" s="10"/>
      <c r="I949" s="10"/>
      <c r="J949" s="9"/>
      <c r="K949" s="9"/>
      <c r="L949" s="8"/>
      <c r="M949" s="8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10"/>
      <c r="G950" s="10"/>
      <c r="H950" s="10"/>
      <c r="I950" s="10"/>
      <c r="J950" s="9"/>
      <c r="K950" s="9"/>
      <c r="L950" s="8"/>
      <c r="M950" s="8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10"/>
      <c r="G951" s="10"/>
      <c r="H951" s="10"/>
      <c r="I951" s="10"/>
      <c r="J951" s="9"/>
      <c r="K951" s="9"/>
      <c r="L951" s="8"/>
      <c r="M951" s="8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10"/>
      <c r="G952" s="10"/>
      <c r="H952" s="10"/>
      <c r="I952" s="10"/>
      <c r="J952" s="9"/>
      <c r="K952" s="9"/>
      <c r="L952" s="8"/>
      <c r="M952" s="8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10"/>
      <c r="G953" s="10"/>
      <c r="H953" s="10"/>
      <c r="I953" s="10"/>
      <c r="J953" s="9"/>
      <c r="K953" s="9"/>
      <c r="L953" s="8"/>
      <c r="M953" s="8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10"/>
      <c r="G954" s="10"/>
      <c r="H954" s="10"/>
      <c r="I954" s="10"/>
      <c r="J954" s="9"/>
      <c r="K954" s="9"/>
      <c r="L954" s="8"/>
      <c r="M954" s="8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10"/>
      <c r="G955" s="10"/>
      <c r="H955" s="10"/>
      <c r="I955" s="10"/>
      <c r="J955" s="9"/>
      <c r="K955" s="9"/>
      <c r="L955" s="8"/>
      <c r="M955" s="8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10"/>
      <c r="G956" s="10"/>
      <c r="H956" s="10"/>
      <c r="I956" s="10"/>
      <c r="J956" s="9"/>
      <c r="K956" s="9"/>
      <c r="L956" s="8"/>
      <c r="M956" s="8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10"/>
      <c r="G957" s="10"/>
      <c r="H957" s="10"/>
      <c r="I957" s="10"/>
      <c r="J957" s="9"/>
      <c r="K957" s="9"/>
      <c r="L957" s="8"/>
      <c r="M957" s="8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10"/>
      <c r="G958" s="10"/>
      <c r="H958" s="10"/>
      <c r="I958" s="10"/>
      <c r="J958" s="9"/>
      <c r="K958" s="9"/>
      <c r="L958" s="8"/>
      <c r="M958" s="8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10"/>
      <c r="G959" s="10"/>
      <c r="H959" s="10"/>
      <c r="I959" s="10"/>
      <c r="J959" s="9"/>
      <c r="K959" s="9"/>
      <c r="L959" s="8"/>
      <c r="M959" s="8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10"/>
      <c r="G960" s="10"/>
      <c r="H960" s="10"/>
      <c r="I960" s="10"/>
      <c r="J960" s="9"/>
      <c r="K960" s="9"/>
      <c r="L960" s="8"/>
      <c r="M960" s="8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10"/>
      <c r="G961" s="10"/>
      <c r="H961" s="10"/>
      <c r="I961" s="10"/>
      <c r="J961" s="9"/>
      <c r="K961" s="9"/>
      <c r="L961" s="8"/>
      <c r="M961" s="8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10"/>
      <c r="G962" s="10"/>
      <c r="H962" s="10"/>
      <c r="I962" s="10"/>
      <c r="J962" s="9"/>
      <c r="K962" s="9"/>
      <c r="L962" s="8"/>
      <c r="M962" s="8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10"/>
      <c r="G963" s="10"/>
      <c r="H963" s="10"/>
      <c r="I963" s="10"/>
      <c r="J963" s="9"/>
      <c r="K963" s="9"/>
      <c r="L963" s="8"/>
      <c r="M963" s="8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10"/>
      <c r="G964" s="10"/>
      <c r="H964" s="10"/>
      <c r="I964" s="10"/>
      <c r="J964" s="9"/>
      <c r="K964" s="9"/>
      <c r="L964" s="8"/>
      <c r="M964" s="8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10"/>
      <c r="G965" s="10"/>
      <c r="H965" s="10"/>
      <c r="I965" s="10"/>
      <c r="J965" s="9"/>
      <c r="K965" s="9"/>
      <c r="L965" s="8"/>
      <c r="M965" s="8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10"/>
      <c r="G966" s="10"/>
      <c r="H966" s="10"/>
      <c r="I966" s="10"/>
      <c r="J966" s="9"/>
      <c r="K966" s="9"/>
      <c r="L966" s="8"/>
      <c r="M966" s="8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10"/>
      <c r="G967" s="10"/>
      <c r="H967" s="10"/>
      <c r="I967" s="10"/>
      <c r="J967" s="9"/>
      <c r="K967" s="9"/>
      <c r="L967" s="8"/>
      <c r="M967" s="8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10"/>
      <c r="G968" s="10"/>
      <c r="H968" s="10"/>
      <c r="I968" s="10"/>
      <c r="J968" s="9"/>
      <c r="K968" s="9"/>
      <c r="L968" s="8"/>
      <c r="M968" s="8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10"/>
      <c r="G969" s="10"/>
      <c r="H969" s="10"/>
      <c r="I969" s="10"/>
      <c r="J969" s="9"/>
      <c r="K969" s="9"/>
      <c r="L969" s="8"/>
      <c r="M969" s="8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10"/>
      <c r="G970" s="10"/>
      <c r="H970" s="10"/>
      <c r="I970" s="10"/>
      <c r="J970" s="9"/>
      <c r="K970" s="9"/>
      <c r="L970" s="8"/>
      <c r="M970" s="8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10"/>
      <c r="G971" s="10"/>
      <c r="H971" s="10"/>
      <c r="I971" s="10"/>
      <c r="J971" s="9"/>
      <c r="K971" s="9"/>
      <c r="L971" s="8"/>
      <c r="M971" s="8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10"/>
      <c r="G972" s="10"/>
      <c r="H972" s="10"/>
      <c r="I972" s="10"/>
      <c r="J972" s="9"/>
      <c r="K972" s="9"/>
      <c r="L972" s="8"/>
      <c r="M972" s="8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10"/>
      <c r="G973" s="10"/>
      <c r="H973" s="10"/>
      <c r="I973" s="10"/>
      <c r="J973" s="9"/>
      <c r="K973" s="9"/>
      <c r="L973" s="8"/>
      <c r="M973" s="8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10"/>
      <c r="G974" s="10"/>
      <c r="H974" s="10"/>
      <c r="I974" s="10"/>
      <c r="J974" s="9"/>
      <c r="K974" s="9"/>
      <c r="L974" s="8"/>
      <c r="M974" s="8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10"/>
      <c r="G975" s="10"/>
      <c r="H975" s="10"/>
      <c r="I975" s="10"/>
      <c r="J975" s="9"/>
      <c r="K975" s="9"/>
      <c r="L975" s="8"/>
      <c r="M975" s="8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10"/>
      <c r="G976" s="10"/>
      <c r="H976" s="10"/>
      <c r="I976" s="10"/>
      <c r="J976" s="9"/>
      <c r="K976" s="9"/>
      <c r="L976" s="8"/>
      <c r="M976" s="8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10"/>
      <c r="G977" s="10"/>
      <c r="H977" s="10"/>
      <c r="I977" s="10"/>
      <c r="J977" s="9"/>
      <c r="K977" s="9"/>
      <c r="L977" s="8"/>
      <c r="M977" s="8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10"/>
      <c r="G978" s="10"/>
      <c r="H978" s="10"/>
      <c r="I978" s="10"/>
      <c r="J978" s="9"/>
      <c r="K978" s="9"/>
      <c r="L978" s="8"/>
      <c r="M978" s="8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10"/>
      <c r="G979" s="10"/>
      <c r="H979" s="10"/>
      <c r="I979" s="10"/>
      <c r="J979" s="9"/>
      <c r="K979" s="9"/>
      <c r="L979" s="8"/>
      <c r="M979" s="8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10"/>
      <c r="G980" s="10"/>
      <c r="H980" s="10"/>
      <c r="I980" s="10"/>
      <c r="J980" s="9"/>
      <c r="K980" s="9"/>
      <c r="L980" s="8"/>
      <c r="M980" s="8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10"/>
      <c r="G981" s="10"/>
      <c r="H981" s="10"/>
      <c r="I981" s="10"/>
      <c r="J981" s="9"/>
      <c r="K981" s="9"/>
      <c r="L981" s="8"/>
      <c r="M981" s="8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10"/>
      <c r="G982" s="10"/>
      <c r="H982" s="10"/>
      <c r="I982" s="10"/>
      <c r="J982" s="9"/>
      <c r="K982" s="9"/>
      <c r="L982" s="8"/>
      <c r="M982" s="8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10"/>
      <c r="G983" s="10"/>
      <c r="H983" s="10"/>
      <c r="I983" s="10"/>
      <c r="J983" s="9"/>
      <c r="K983" s="9"/>
      <c r="L983" s="8"/>
      <c r="M983" s="8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10"/>
      <c r="G984" s="10"/>
      <c r="H984" s="10"/>
      <c r="I984" s="10"/>
      <c r="J984" s="9"/>
      <c r="K984" s="9"/>
      <c r="L984" s="8"/>
      <c r="M984" s="8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10"/>
      <c r="G985" s="10"/>
      <c r="H985" s="10"/>
      <c r="I985" s="10"/>
      <c r="J985" s="9"/>
      <c r="K985" s="9"/>
      <c r="L985" s="8"/>
      <c r="M985" s="8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10"/>
      <c r="G986" s="10"/>
      <c r="H986" s="10"/>
      <c r="I986" s="10"/>
      <c r="J986" s="9"/>
      <c r="K986" s="9"/>
      <c r="L986" s="8"/>
      <c r="M986" s="8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10"/>
      <c r="G987" s="10"/>
      <c r="H987" s="10"/>
      <c r="I987" s="10"/>
      <c r="J987" s="9"/>
      <c r="K987" s="9"/>
      <c r="L987" s="8"/>
      <c r="M987" s="8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10"/>
      <c r="G988" s="10"/>
      <c r="H988" s="10"/>
      <c r="I988" s="10"/>
      <c r="J988" s="9"/>
      <c r="K988" s="9"/>
      <c r="L988" s="8"/>
      <c r="M988" s="8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10"/>
      <c r="G989" s="10"/>
      <c r="H989" s="10"/>
      <c r="I989" s="10"/>
      <c r="J989" s="9"/>
      <c r="K989" s="9"/>
      <c r="L989" s="8"/>
      <c r="M989" s="8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10"/>
      <c r="G990" s="10"/>
      <c r="H990" s="10"/>
      <c r="I990" s="10"/>
      <c r="J990" s="9"/>
      <c r="K990" s="9"/>
      <c r="L990" s="8"/>
      <c r="M990" s="8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10"/>
      <c r="G991" s="10"/>
      <c r="H991" s="10"/>
      <c r="I991" s="10"/>
      <c r="J991" s="9"/>
      <c r="K991" s="9"/>
      <c r="L991" s="8"/>
      <c r="M991" s="8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10"/>
      <c r="G992" s="10"/>
      <c r="H992" s="10"/>
      <c r="I992" s="10"/>
      <c r="J992" s="9"/>
      <c r="K992" s="9"/>
      <c r="L992" s="8"/>
      <c r="M992" s="8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10"/>
      <c r="G993" s="10"/>
      <c r="H993" s="10"/>
      <c r="I993" s="10"/>
      <c r="J993" s="9"/>
      <c r="K993" s="9"/>
      <c r="L993" s="8"/>
      <c r="M993" s="8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10"/>
      <c r="G994" s="10"/>
      <c r="H994" s="10"/>
      <c r="I994" s="10"/>
      <c r="J994" s="9"/>
      <c r="K994" s="9"/>
      <c r="L994" s="8"/>
      <c r="M994" s="8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10"/>
      <c r="G995" s="10"/>
      <c r="H995" s="10"/>
      <c r="I995" s="10"/>
      <c r="J995" s="9"/>
      <c r="K995" s="9"/>
      <c r="L995" s="8"/>
      <c r="M995" s="8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10"/>
      <c r="G996" s="10"/>
      <c r="H996" s="10"/>
      <c r="I996" s="10"/>
      <c r="J996" s="9"/>
      <c r="K996" s="9"/>
      <c r="L996" s="8"/>
      <c r="M996" s="8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10"/>
      <c r="G997" s="10"/>
      <c r="H997" s="10"/>
      <c r="I997" s="10"/>
      <c r="J997" s="9"/>
      <c r="K997" s="9"/>
      <c r="L997" s="8"/>
      <c r="M997" s="8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10"/>
      <c r="G998" s="10"/>
      <c r="H998" s="10"/>
      <c r="I998" s="10"/>
      <c r="J998" s="9"/>
      <c r="K998" s="9"/>
      <c r="L998" s="8"/>
      <c r="M998" s="8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10"/>
      <c r="G999" s="10"/>
      <c r="H999" s="10"/>
      <c r="I999" s="10"/>
      <c r="J999" s="9"/>
      <c r="K999" s="9"/>
      <c r="L999" s="8"/>
      <c r="M999" s="8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10"/>
      <c r="G1000" s="10"/>
      <c r="H1000" s="10"/>
      <c r="I1000" s="10"/>
      <c r="J1000" s="9"/>
      <c r="K1000" s="9"/>
      <c r="L1000" s="8"/>
      <c r="M1000" s="8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10"/>
      <c r="G1001" s="10"/>
      <c r="H1001" s="10"/>
      <c r="I1001" s="10"/>
      <c r="J1001" s="9"/>
      <c r="K1001" s="9"/>
      <c r="L1001" s="8"/>
      <c r="M1001" s="8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dataValidations>
    <dataValidation type="list" allowBlank="1" showErrorMessage="1" sqref="B2:B1001">
      <formula1>Clientes!$B$2:$B1001</formula1>
    </dataValidation>
    <dataValidation type="list" allowBlank="1" showErrorMessage="1" sqref="C2:C1001">
      <formula1>Produtos!$B$2:$B1001</formula1>
    </dataValidation>
    <dataValidation type="list" allowBlank="1" showErrorMessage="1" sqref="J2:J1001">
      <formula1>Config!$A2:$A1001</formula1>
    </dataValidation>
    <dataValidation type="list" allowBlank="1" showErrorMessage="1" sqref="D2:D1001">
      <formula1>Config!$D$2:$D$8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6" max="6" width="15.63"/>
    <col customWidth="1" min="7" max="7" width="16.0"/>
    <col customWidth="1" min="8" max="8" width="17.13"/>
    <col customWidth="1" min="10" max="10" width="14.13"/>
    <col customWidth="1" min="11" max="11" width="14.63"/>
  </cols>
  <sheetData>
    <row r="1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4</v>
      </c>
      <c r="J1" s="11" t="s">
        <v>50</v>
      </c>
      <c r="K1" s="11" t="s">
        <v>51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 t="str">
        <f t="shared" ref="A2:A400" si="1">"C"&amp;TEXT(ROW(A2),"000")</f>
        <v>C002</v>
      </c>
      <c r="B2" s="13" t="s">
        <v>52</v>
      </c>
      <c r="C2" s="12"/>
      <c r="D2" s="12"/>
      <c r="E2" s="12"/>
      <c r="F2" s="14">
        <v>46149.0</v>
      </c>
      <c r="G2" s="12" t="str">
        <f>IFERROR(MAX(FILTRAR(Vendas!A:A,Vendas!B:B=B2)),"")</f>
        <v/>
      </c>
      <c r="H2" s="12">
        <f>IF(B2="","",SUMIF(Vendas!B:B,B2,Vendas!G:G))</f>
        <v>0</v>
      </c>
      <c r="I2" s="12">
        <f>IF(B2="","",COUNTIF(Vendas!B:B,B2))</f>
        <v>0</v>
      </c>
      <c r="J2" s="12">
        <f t="shared" ref="J2:J399" si="2">IFERROR(H2/I2,0)</f>
        <v>0</v>
      </c>
      <c r="K2" s="1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5" t="str">
        <f t="shared" si="1"/>
        <v>C003</v>
      </c>
      <c r="B3" s="16" t="s">
        <v>18</v>
      </c>
      <c r="C3" s="15"/>
      <c r="D3" s="16" t="s">
        <v>53</v>
      </c>
      <c r="E3" s="15"/>
      <c r="F3" s="14">
        <v>46150.0</v>
      </c>
      <c r="G3" s="15" t="str">
        <f>IFERROR(MAX(FILTRAR(Vendas!A:A,Vendas!B:B=B3)),"")</f>
        <v/>
      </c>
      <c r="H3" s="15">
        <f>IF(B3="","",SUMIF(Vendas!B:B,B3,Vendas!G:G))</f>
        <v>125</v>
      </c>
      <c r="I3" s="15">
        <f>IF(B3="","",COUNTIF(Vendas!B:B,B3))</f>
        <v>1</v>
      </c>
      <c r="J3" s="15">
        <f t="shared" si="2"/>
        <v>125</v>
      </c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5" t="str">
        <f t="shared" si="1"/>
        <v>C004</v>
      </c>
      <c r="B4" s="16" t="s">
        <v>13</v>
      </c>
      <c r="C4" s="15"/>
      <c r="D4" s="16" t="s">
        <v>53</v>
      </c>
      <c r="E4" s="15"/>
      <c r="F4" s="14">
        <v>46151.0</v>
      </c>
      <c r="G4" s="15" t="str">
        <f>IFERROR(MAX(FILTRAR(Vendas!A:A,Vendas!B:B=B4)),"")</f>
        <v/>
      </c>
      <c r="H4" s="15">
        <f>IF(B4="","",SUMIF(Vendas!B:B,B4,Vendas!G:G))</f>
        <v>250</v>
      </c>
      <c r="I4" s="15">
        <f>IF(B4="","",COUNTIF(Vendas!B:B,B4))</f>
        <v>2</v>
      </c>
      <c r="J4" s="15">
        <f t="shared" si="2"/>
        <v>125</v>
      </c>
      <c r="K4" s="1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5" t="str">
        <f t="shared" si="1"/>
        <v>C005</v>
      </c>
      <c r="B5" s="16" t="s">
        <v>40</v>
      </c>
      <c r="C5" s="15"/>
      <c r="D5" s="16" t="s">
        <v>53</v>
      </c>
      <c r="E5" s="15"/>
      <c r="F5" s="14">
        <v>46152.0</v>
      </c>
      <c r="G5" s="15" t="str">
        <f>IFERROR(MAX(FILTRAR(Vendas!A:A,Vendas!B:B=B5)),"")</f>
        <v/>
      </c>
      <c r="H5" s="15">
        <f>IF(B5="","",SUMIF(Vendas!B:B,B5,Vendas!G:G))</f>
        <v>225</v>
      </c>
      <c r="I5" s="15">
        <f>IF(B5="","",COUNTIF(Vendas!B:B,B5))</f>
        <v>2</v>
      </c>
      <c r="J5" s="15">
        <f t="shared" si="2"/>
        <v>112.5</v>
      </c>
      <c r="K5" s="1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5" t="str">
        <f t="shared" si="1"/>
        <v>C006</v>
      </c>
      <c r="B6" s="16" t="s">
        <v>28</v>
      </c>
      <c r="C6" s="15"/>
      <c r="D6" s="16" t="s">
        <v>53</v>
      </c>
      <c r="E6" s="15"/>
      <c r="F6" s="14">
        <v>46153.0</v>
      </c>
      <c r="G6" s="15" t="str">
        <f>IFERROR(MAX(FILTRAR(Vendas!A:A,Vendas!B:B=B6)),"")</f>
        <v/>
      </c>
      <c r="H6" s="15">
        <f>IF(B6="","",SUMIF(Vendas!B:B,B6,Vendas!G:G))</f>
        <v>418.58</v>
      </c>
      <c r="I6" s="15">
        <f>IF(B6="","",COUNTIF(Vendas!B:B,B6))</f>
        <v>3</v>
      </c>
      <c r="J6" s="15">
        <f t="shared" si="2"/>
        <v>139.5266667</v>
      </c>
      <c r="K6" s="15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5" t="str">
        <f t="shared" si="1"/>
        <v>C007</v>
      </c>
      <c r="B7" s="16" t="s">
        <v>25</v>
      </c>
      <c r="C7" s="15"/>
      <c r="D7" s="16" t="s">
        <v>53</v>
      </c>
      <c r="E7" s="15"/>
      <c r="F7" s="14">
        <v>46154.0</v>
      </c>
      <c r="G7" s="15" t="str">
        <f>IFERROR(MAX(FILTRAR(Vendas!A:A,Vendas!B:B=B7)),"")</f>
        <v/>
      </c>
      <c r="H7" s="15">
        <f>IF(B7="","",SUMIF(Vendas!B:B,B7,Vendas!G:G))</f>
        <v>125</v>
      </c>
      <c r="I7" s="15">
        <f>IF(B7="","",COUNTIF(Vendas!B:B,B7))</f>
        <v>1</v>
      </c>
      <c r="J7" s="15">
        <f t="shared" si="2"/>
        <v>125</v>
      </c>
      <c r="K7" s="15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5" t="str">
        <f t="shared" si="1"/>
        <v>C008</v>
      </c>
      <c r="B8" s="16" t="s">
        <v>32</v>
      </c>
      <c r="C8" s="15"/>
      <c r="D8" s="16" t="s">
        <v>53</v>
      </c>
      <c r="E8" s="15"/>
      <c r="F8" s="14">
        <v>46155.0</v>
      </c>
      <c r="G8" s="15" t="str">
        <f>IFERROR(MAX(FILTRAR(Vendas!A:A,Vendas!B:B=B8)),"")</f>
        <v/>
      </c>
      <c r="H8" s="15">
        <f>IF(B8="","",SUMIF(Vendas!B:B,B8,Vendas!G:G))</f>
        <v>220.74</v>
      </c>
      <c r="I8" s="15">
        <f>IF(B8="","",COUNTIF(Vendas!B:B,B8))</f>
        <v>2</v>
      </c>
      <c r="J8" s="15">
        <f t="shared" si="2"/>
        <v>110.37</v>
      </c>
      <c r="K8" s="15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5" t="str">
        <f t="shared" si="1"/>
        <v>C009</v>
      </c>
      <c r="B9" s="16" t="s">
        <v>34</v>
      </c>
      <c r="C9" s="15"/>
      <c r="D9" s="16" t="s">
        <v>53</v>
      </c>
      <c r="E9" s="15"/>
      <c r="F9" s="14">
        <v>46156.0</v>
      </c>
      <c r="G9" s="15" t="str">
        <f>IFERROR(MAX(FILTRAR(Vendas!A:A,Vendas!B:B=B9)),"")</f>
        <v/>
      </c>
      <c r="H9" s="15">
        <f>IF(B9="","",SUMIF(Vendas!B:B,B9,Vendas!G:G))</f>
        <v>158.68</v>
      </c>
      <c r="I9" s="15">
        <f>IF(B9="","",COUNTIF(Vendas!B:B,B9))</f>
        <v>1</v>
      </c>
      <c r="J9" s="15">
        <f t="shared" si="2"/>
        <v>158.68</v>
      </c>
      <c r="K9" s="1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5" t="str">
        <f t="shared" si="1"/>
        <v>C010</v>
      </c>
      <c r="B10" s="16" t="s">
        <v>36</v>
      </c>
      <c r="C10" s="15"/>
      <c r="D10" s="16" t="s">
        <v>53</v>
      </c>
      <c r="E10" s="15"/>
      <c r="F10" s="14">
        <v>46157.0</v>
      </c>
      <c r="G10" s="15" t="str">
        <f>IFERROR(MAX(FILTRAR(Vendas!A:A,Vendas!B:B=B10)),"")</f>
        <v/>
      </c>
      <c r="H10" s="15">
        <f>IF(B10="","",SUMIF(Vendas!B:B,B10,Vendas!G:G))</f>
        <v>175</v>
      </c>
      <c r="I10" s="15">
        <f>IF(B10="","",COUNTIF(Vendas!B:B,B10))</f>
        <v>1</v>
      </c>
      <c r="J10" s="15">
        <f t="shared" si="2"/>
        <v>175</v>
      </c>
      <c r="K10" s="15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5" t="str">
        <f t="shared" si="1"/>
        <v>C011</v>
      </c>
      <c r="B11" s="16" t="s">
        <v>38</v>
      </c>
      <c r="C11" s="15"/>
      <c r="D11" s="16" t="s">
        <v>53</v>
      </c>
      <c r="E11" s="15"/>
      <c r="F11" s="14">
        <v>46158.0</v>
      </c>
      <c r="G11" s="15" t="str">
        <f>IFERROR(MAX(FILTRAR(Vendas!A:A,Vendas!B:B=B11)),"")</f>
        <v/>
      </c>
      <c r="H11" s="15">
        <f>IF(B11="","",SUMIF(Vendas!B:B,B11,Vendas!G:G))</f>
        <v>115</v>
      </c>
      <c r="I11" s="15">
        <f>IF(B11="","",COUNTIF(Vendas!B:B,B11))</f>
        <v>1</v>
      </c>
      <c r="J11" s="15">
        <f t="shared" si="2"/>
        <v>115</v>
      </c>
      <c r="K11" s="1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5" t="str">
        <f t="shared" si="1"/>
        <v>C012</v>
      </c>
      <c r="B12" s="16" t="s">
        <v>54</v>
      </c>
      <c r="C12" s="15"/>
      <c r="D12" s="16" t="s">
        <v>53</v>
      </c>
      <c r="E12" s="15"/>
      <c r="F12" s="14">
        <v>46159.0</v>
      </c>
      <c r="G12" s="15" t="str">
        <f>IFERROR(MAX(FILTRAR(Vendas!A:A,Vendas!B:B=B12)),"")</f>
        <v/>
      </c>
      <c r="H12" s="15">
        <f>IF(B12="","",SUMIF(Vendas!B:B,B12,Vendas!G:G))</f>
        <v>0</v>
      </c>
      <c r="I12" s="15">
        <f>IF(B12="","",COUNTIF(Vendas!B:B,B12))</f>
        <v>0</v>
      </c>
      <c r="J12" s="15">
        <f t="shared" si="2"/>
        <v>0</v>
      </c>
      <c r="K12" s="1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 t="str">
        <f t="shared" si="1"/>
        <v>C013</v>
      </c>
      <c r="B13" s="16" t="s">
        <v>55</v>
      </c>
      <c r="C13" s="15"/>
      <c r="D13" s="16" t="s">
        <v>53</v>
      </c>
      <c r="E13" s="15"/>
      <c r="F13" s="14">
        <v>46160.0</v>
      </c>
      <c r="G13" s="15" t="str">
        <f>IFERROR(MAX(FILTRAR(Vendas!A:A,Vendas!B:B=B13)),"")</f>
        <v/>
      </c>
      <c r="H13" s="15">
        <f>IF(B13="","",SUMIF(Vendas!B:B,B13,Vendas!G:G))</f>
        <v>0</v>
      </c>
      <c r="I13" s="15">
        <f>IF(B13="","",COUNTIF(Vendas!B:B,B13))</f>
        <v>0</v>
      </c>
      <c r="J13" s="15">
        <f t="shared" si="2"/>
        <v>0</v>
      </c>
      <c r="K13" s="15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5" t="str">
        <f t="shared" si="1"/>
        <v>C014</v>
      </c>
      <c r="B14" s="16" t="s">
        <v>56</v>
      </c>
      <c r="C14" s="15"/>
      <c r="D14" s="16" t="s">
        <v>53</v>
      </c>
      <c r="E14" s="15"/>
      <c r="F14" s="14">
        <v>46161.0</v>
      </c>
      <c r="G14" s="15" t="str">
        <f>IFERROR(MAX(FILTRAR(Vendas!A:A,Vendas!B:B=B14)),"")</f>
        <v/>
      </c>
      <c r="H14" s="15">
        <f>IF(B14="","",SUMIF(Vendas!B:B,B14,Vendas!G:G))</f>
        <v>0</v>
      </c>
      <c r="I14" s="15">
        <f>IF(B14="","",COUNTIF(Vendas!B:B,B14))</f>
        <v>0</v>
      </c>
      <c r="J14" s="15">
        <f t="shared" si="2"/>
        <v>0</v>
      </c>
      <c r="K14" s="1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5" t="str">
        <f t="shared" si="1"/>
        <v>C015</v>
      </c>
      <c r="B15" s="16" t="s">
        <v>57</v>
      </c>
      <c r="C15" s="15"/>
      <c r="D15" s="16" t="s">
        <v>53</v>
      </c>
      <c r="E15" s="15"/>
      <c r="F15" s="14">
        <v>46162.0</v>
      </c>
      <c r="G15" s="15" t="str">
        <f>IFERROR(MAX(FILTRAR(Vendas!A:A,Vendas!B:B=B15)),"")</f>
        <v/>
      </c>
      <c r="H15" s="15">
        <f>IF(B15="","",SUMIF(Vendas!B:B,B15,Vendas!G:G))</f>
        <v>0</v>
      </c>
      <c r="I15" s="15">
        <f>IF(B15="","",COUNTIF(Vendas!B:B,B15))</f>
        <v>0</v>
      </c>
      <c r="J15" s="15">
        <f t="shared" si="2"/>
        <v>0</v>
      </c>
      <c r="K15" s="1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5" t="str">
        <f t="shared" si="1"/>
        <v>C016</v>
      </c>
      <c r="B16" s="16" t="s">
        <v>58</v>
      </c>
      <c r="C16" s="15"/>
      <c r="D16" s="16" t="s">
        <v>53</v>
      </c>
      <c r="E16" s="15"/>
      <c r="F16" s="14">
        <v>46163.0</v>
      </c>
      <c r="G16" s="15" t="str">
        <f>IFERROR(MAX(FILTRAR(Vendas!A:A,Vendas!B:B=B16)),"")</f>
        <v/>
      </c>
      <c r="H16" s="15">
        <f>IF(B16="","",SUMIF(Vendas!B:B,B16,Vendas!G:G))</f>
        <v>0</v>
      </c>
      <c r="I16" s="15">
        <f>IF(B16="","",COUNTIF(Vendas!B:B,B16))</f>
        <v>0</v>
      </c>
      <c r="J16" s="15">
        <f t="shared" si="2"/>
        <v>0</v>
      </c>
      <c r="K16" s="1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5" t="str">
        <f t="shared" si="1"/>
        <v>C017</v>
      </c>
      <c r="B17" s="16" t="s">
        <v>59</v>
      </c>
      <c r="C17" s="15"/>
      <c r="D17" s="16" t="s">
        <v>53</v>
      </c>
      <c r="E17" s="15"/>
      <c r="F17" s="14">
        <v>46164.0</v>
      </c>
      <c r="G17" s="15" t="str">
        <f>IFERROR(MAX(FILTRAR(Vendas!A:A,Vendas!B:B=B17)),"")</f>
        <v/>
      </c>
      <c r="H17" s="15">
        <f>IF(B17="","",SUMIF(Vendas!B:B,B17,Vendas!G:G))</f>
        <v>0</v>
      </c>
      <c r="I17" s="15">
        <f>IF(B17="","",COUNTIF(Vendas!B:B,B17))</f>
        <v>0</v>
      </c>
      <c r="J17" s="15">
        <f t="shared" si="2"/>
        <v>0</v>
      </c>
      <c r="K17" s="1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5" t="str">
        <f t="shared" si="1"/>
        <v>C018</v>
      </c>
      <c r="B18" s="16" t="s">
        <v>60</v>
      </c>
      <c r="C18" s="15"/>
      <c r="D18" s="16" t="s">
        <v>53</v>
      </c>
      <c r="E18" s="15"/>
      <c r="F18" s="14">
        <v>46165.0</v>
      </c>
      <c r="G18" s="15" t="str">
        <f>IFERROR(MAX(FILTRAR(Vendas!A:A,Vendas!B:B=B18)),"")</f>
        <v/>
      </c>
      <c r="H18" s="15">
        <f>IF(B18="","",SUMIF(Vendas!B:B,B18,Vendas!G:G))</f>
        <v>0</v>
      </c>
      <c r="I18" s="15">
        <f>IF(B18="","",COUNTIF(Vendas!B:B,B18))</f>
        <v>0</v>
      </c>
      <c r="J18" s="15">
        <f t="shared" si="2"/>
        <v>0</v>
      </c>
      <c r="K18" s="1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5" t="str">
        <f t="shared" si="1"/>
        <v>C019</v>
      </c>
      <c r="B19" s="16" t="s">
        <v>20</v>
      </c>
      <c r="C19" s="15"/>
      <c r="D19" s="16" t="s">
        <v>53</v>
      </c>
      <c r="E19" s="15"/>
      <c r="F19" s="14">
        <v>46166.0</v>
      </c>
      <c r="G19" s="15" t="str">
        <f>IFERROR(MAX(FILTRAR(Vendas!A:A,Vendas!B:B=B19)),"")</f>
        <v/>
      </c>
      <c r="H19" s="15">
        <f>IF(B19="","",SUMIF(Vendas!B:B,B19,Vendas!G:G))</f>
        <v>343.86</v>
      </c>
      <c r="I19" s="15">
        <f>IF(B19="","",COUNTIF(Vendas!B:B,B19))</f>
        <v>3</v>
      </c>
      <c r="J19" s="15">
        <f t="shared" si="2"/>
        <v>114.62</v>
      </c>
      <c r="K19" s="1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5" t="str">
        <f t="shared" si="1"/>
        <v>C020</v>
      </c>
      <c r="B20" s="16" t="s">
        <v>61</v>
      </c>
      <c r="C20" s="15"/>
      <c r="D20" s="16" t="s">
        <v>53</v>
      </c>
      <c r="E20" s="15"/>
      <c r="F20" s="14">
        <v>46167.0</v>
      </c>
      <c r="G20" s="15" t="str">
        <f>IFERROR(MAX(FILTRAR(Vendas!A:A,Vendas!B:B=B20)),"")</f>
        <v/>
      </c>
      <c r="H20" s="15">
        <f>IF(B20="","",SUMIF(Vendas!B:B,B20,Vendas!G:G))</f>
        <v>0</v>
      </c>
      <c r="I20" s="15">
        <f>IF(B20="","",COUNTIF(Vendas!B:B,B20))</f>
        <v>0</v>
      </c>
      <c r="J20" s="15">
        <f t="shared" si="2"/>
        <v>0</v>
      </c>
      <c r="K20" s="15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5" t="str">
        <f t="shared" si="1"/>
        <v>C021</v>
      </c>
      <c r="B21" s="16" t="s">
        <v>22</v>
      </c>
      <c r="C21" s="15"/>
      <c r="D21" s="16" t="s">
        <v>53</v>
      </c>
      <c r="E21" s="15"/>
      <c r="F21" s="14">
        <v>46168.0</v>
      </c>
      <c r="G21" s="15" t="str">
        <f>IFERROR(MAX(FILTRAR(Vendas!A:A,Vendas!B:B=B21)),"")</f>
        <v/>
      </c>
      <c r="H21" s="15">
        <f>IF(B21="","",SUMIF(Vendas!B:B,B21,Vendas!G:G))</f>
        <v>322</v>
      </c>
      <c r="I21" s="15">
        <f>IF(B21="","",COUNTIF(Vendas!B:B,B21))</f>
        <v>1</v>
      </c>
      <c r="J21" s="15">
        <f t="shared" si="2"/>
        <v>322</v>
      </c>
      <c r="K21" s="1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5" t="str">
        <f t="shared" si="1"/>
        <v>C022</v>
      </c>
      <c r="B22" s="16" t="s">
        <v>62</v>
      </c>
      <c r="C22" s="15"/>
      <c r="D22" s="16" t="s">
        <v>53</v>
      </c>
      <c r="E22" s="15"/>
      <c r="F22" s="14">
        <v>46169.0</v>
      </c>
      <c r="G22" s="15" t="str">
        <f>IFERROR(MAX(FILTRAR(Vendas!A:A,Vendas!B:B=B22)),"")</f>
        <v/>
      </c>
      <c r="H22" s="15">
        <f>IF(B22="","",SUMIF(Vendas!B:B,B22,Vendas!G:G))</f>
        <v>0</v>
      </c>
      <c r="I22" s="15">
        <f>IF(B22="","",COUNTIF(Vendas!B:B,B22))</f>
        <v>0</v>
      </c>
      <c r="J22" s="15">
        <f t="shared" si="2"/>
        <v>0</v>
      </c>
      <c r="K22" s="1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5" t="str">
        <f t="shared" si="1"/>
        <v>C023</v>
      </c>
      <c r="B23" s="16" t="s">
        <v>63</v>
      </c>
      <c r="C23" s="15"/>
      <c r="D23" s="16" t="s">
        <v>53</v>
      </c>
      <c r="E23" s="15"/>
      <c r="F23" s="14">
        <v>46170.0</v>
      </c>
      <c r="G23" s="15" t="str">
        <f>IFERROR(MAX(FILTRAR(Vendas!A:A,Vendas!B:B=B23)),"")</f>
        <v/>
      </c>
      <c r="H23" s="15">
        <f>IF(B23="","",SUMIF(Vendas!B:B,B23,Vendas!G:G))</f>
        <v>0</v>
      </c>
      <c r="I23" s="15">
        <f>IF(B23="","",COUNTIF(Vendas!B:B,B23))</f>
        <v>0</v>
      </c>
      <c r="J23" s="15">
        <f t="shared" si="2"/>
        <v>0</v>
      </c>
      <c r="K23" s="1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5" t="str">
        <f t="shared" si="1"/>
        <v>C024</v>
      </c>
      <c r="B24" s="16" t="s">
        <v>64</v>
      </c>
      <c r="C24" s="15"/>
      <c r="D24" s="16" t="s">
        <v>65</v>
      </c>
      <c r="E24" s="15"/>
      <c r="F24" s="14">
        <v>46171.0</v>
      </c>
      <c r="G24" s="15" t="str">
        <f>IFERROR(MAX(FILTRAR(Vendas!A:A,Vendas!B:B=B24)),"")</f>
        <v/>
      </c>
      <c r="H24" s="15">
        <f>IF(B24="","",SUMIF(Vendas!B:B,B24,Vendas!G:G))</f>
        <v>0</v>
      </c>
      <c r="I24" s="15">
        <f>IF(B24="","",COUNTIF(Vendas!B:B,B24))</f>
        <v>0</v>
      </c>
      <c r="J24" s="15">
        <f t="shared" si="2"/>
        <v>0</v>
      </c>
      <c r="K24" s="15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5" t="str">
        <f t="shared" si="1"/>
        <v>C025</v>
      </c>
      <c r="B25" s="16" t="s">
        <v>66</v>
      </c>
      <c r="C25" s="15"/>
      <c r="D25" s="16" t="s">
        <v>53</v>
      </c>
      <c r="E25" s="15"/>
      <c r="F25" s="14">
        <v>46172.0</v>
      </c>
      <c r="G25" s="15" t="str">
        <f>IFERROR(MAX(FILTRAR(Vendas!A:A,Vendas!B:B=B25)),"")</f>
        <v/>
      </c>
      <c r="H25" s="15">
        <f>IF(B25="","",SUMIF(Vendas!B:B,B25,Vendas!G:G))</f>
        <v>0</v>
      </c>
      <c r="I25" s="15">
        <f>IF(B25="","",COUNTIF(Vendas!B:B,B25))</f>
        <v>0</v>
      </c>
      <c r="J25" s="15">
        <f t="shared" si="2"/>
        <v>0</v>
      </c>
      <c r="K25" s="1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5" t="str">
        <f t="shared" si="1"/>
        <v>C026</v>
      </c>
      <c r="B26" s="16" t="s">
        <v>67</v>
      </c>
      <c r="C26" s="15"/>
      <c r="D26" s="16" t="s">
        <v>53</v>
      </c>
      <c r="E26" s="15"/>
      <c r="F26" s="14">
        <v>46173.0</v>
      </c>
      <c r="G26" s="15" t="str">
        <f>IFERROR(MAX(FILTRAR(Vendas!A:A,Vendas!B:B=B26)),"")</f>
        <v/>
      </c>
      <c r="H26" s="15">
        <f>IF(B26="","",SUMIF(Vendas!B:B,B26,Vendas!G:G))</f>
        <v>0</v>
      </c>
      <c r="I26" s="15">
        <f>IF(B26="","",COUNTIF(Vendas!B:B,B26))</f>
        <v>0</v>
      </c>
      <c r="J26" s="15">
        <f t="shared" si="2"/>
        <v>0</v>
      </c>
      <c r="K26" s="1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5" t="str">
        <f t="shared" si="1"/>
        <v>C027</v>
      </c>
      <c r="B27" s="15"/>
      <c r="C27" s="15"/>
      <c r="D27" s="15"/>
      <c r="E27" s="15"/>
      <c r="F27" s="15"/>
      <c r="G27" s="15" t="str">
        <f>IFERROR(MAX(FILTRAR(Vendas!A:A,Vendas!B:B=B27)),"")</f>
        <v/>
      </c>
      <c r="H27" s="15" t="str">
        <f>IF(B27="","",SUMIF(Vendas!B:B,B27,Vendas!G:G))</f>
        <v/>
      </c>
      <c r="I27" s="15" t="str">
        <f>IF(B27="","",COUNTIF(Vendas!B:B,B27))</f>
        <v/>
      </c>
      <c r="J27" s="15">
        <f t="shared" si="2"/>
        <v>0</v>
      </c>
      <c r="K27" s="1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5" t="str">
        <f t="shared" si="1"/>
        <v>C028</v>
      </c>
      <c r="B28" s="15"/>
      <c r="C28" s="15"/>
      <c r="D28" s="15"/>
      <c r="E28" s="15"/>
      <c r="F28" s="15"/>
      <c r="G28" s="15" t="str">
        <f>IFERROR(MAX(FILTRAR(Vendas!A:A,Vendas!B:B=B28)),"")</f>
        <v/>
      </c>
      <c r="H28" s="15" t="str">
        <f>IF(B28="","",SUMIF(Vendas!B:B,B28,Vendas!G:G))</f>
        <v/>
      </c>
      <c r="I28" s="15" t="str">
        <f>IF(B28="","",COUNTIF(Vendas!B:B,B28))</f>
        <v/>
      </c>
      <c r="J28" s="15">
        <f t="shared" si="2"/>
        <v>0</v>
      </c>
      <c r="K28" s="15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5" t="str">
        <f t="shared" si="1"/>
        <v>C029</v>
      </c>
      <c r="B29" s="15"/>
      <c r="C29" s="15"/>
      <c r="D29" s="15"/>
      <c r="E29" s="15"/>
      <c r="F29" s="15"/>
      <c r="G29" s="15" t="str">
        <f>IFERROR(MAX(FILTRAR(Vendas!A:A,Vendas!B:B=B29)),"")</f>
        <v/>
      </c>
      <c r="H29" s="15" t="str">
        <f>IF(B29="","",SUMIF(Vendas!B:B,B29,Vendas!G:G))</f>
        <v/>
      </c>
      <c r="I29" s="15" t="str">
        <f>IF(B29="","",COUNTIF(Vendas!B:B,B29))</f>
        <v/>
      </c>
      <c r="J29" s="15">
        <f t="shared" si="2"/>
        <v>0</v>
      </c>
      <c r="K29" s="15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5" t="str">
        <f t="shared" si="1"/>
        <v>C030</v>
      </c>
      <c r="B30" s="15"/>
      <c r="C30" s="15"/>
      <c r="D30" s="15"/>
      <c r="E30" s="15"/>
      <c r="F30" s="15"/>
      <c r="G30" s="15" t="str">
        <f>IFERROR(MAX(FILTRAR(Vendas!A:A,Vendas!B:B=B30)),"")</f>
        <v/>
      </c>
      <c r="H30" s="15" t="str">
        <f>IF(B30="","",SUMIF(Vendas!B:B,B30,Vendas!G:G))</f>
        <v/>
      </c>
      <c r="I30" s="15" t="str">
        <f>IF(B30="","",COUNTIF(Vendas!B:B,B30))</f>
        <v/>
      </c>
      <c r="J30" s="15">
        <f t="shared" si="2"/>
        <v>0</v>
      </c>
      <c r="K30" s="15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5" t="str">
        <f t="shared" si="1"/>
        <v>C031</v>
      </c>
      <c r="B31" s="15"/>
      <c r="C31" s="15"/>
      <c r="D31" s="15"/>
      <c r="E31" s="15"/>
      <c r="F31" s="15"/>
      <c r="G31" s="15" t="str">
        <f>IFERROR(MAX(FILTRAR(Vendas!A:A,Vendas!B:B=B31)),"")</f>
        <v/>
      </c>
      <c r="H31" s="15" t="str">
        <f>IF(B31="","",SUMIF(Vendas!B:B,B31,Vendas!G:G))</f>
        <v/>
      </c>
      <c r="I31" s="15" t="str">
        <f>IF(B31="","",COUNTIF(Vendas!B:B,B31))</f>
        <v/>
      </c>
      <c r="J31" s="15">
        <f t="shared" si="2"/>
        <v>0</v>
      </c>
      <c r="K31" s="15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5" t="str">
        <f t="shared" si="1"/>
        <v>C032</v>
      </c>
      <c r="B32" s="15"/>
      <c r="C32" s="15"/>
      <c r="D32" s="15"/>
      <c r="E32" s="15"/>
      <c r="F32" s="15"/>
      <c r="G32" s="15" t="str">
        <f>IFERROR(MAX(FILTRAR(Vendas!A:A,Vendas!B:B=B32)),"")</f>
        <v/>
      </c>
      <c r="H32" s="15" t="str">
        <f>IF(B32="","",SUMIF(Vendas!B:B,B32,Vendas!G:G))</f>
        <v/>
      </c>
      <c r="I32" s="15" t="str">
        <f>IF(B32="","",COUNTIF(Vendas!B:B,B32))</f>
        <v/>
      </c>
      <c r="J32" s="15">
        <f t="shared" si="2"/>
        <v>0</v>
      </c>
      <c r="K32" s="1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5" t="str">
        <f t="shared" si="1"/>
        <v>C033</v>
      </c>
      <c r="B33" s="15"/>
      <c r="C33" s="15"/>
      <c r="D33" s="15"/>
      <c r="E33" s="15"/>
      <c r="F33" s="15"/>
      <c r="G33" s="15" t="str">
        <f>IFERROR(MAX(FILTRAR(Vendas!A:A,Vendas!B:B=B33)),"")</f>
        <v/>
      </c>
      <c r="H33" s="15" t="str">
        <f>IF(B33="","",SUMIF(Vendas!B:B,B33,Vendas!G:G))</f>
        <v/>
      </c>
      <c r="I33" s="15" t="str">
        <f>IF(B33="","",COUNTIF(Vendas!B:B,B33))</f>
        <v/>
      </c>
      <c r="J33" s="15">
        <f t="shared" si="2"/>
        <v>0</v>
      </c>
      <c r="K33" s="15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5" t="str">
        <f t="shared" si="1"/>
        <v>C034</v>
      </c>
      <c r="B34" s="15"/>
      <c r="C34" s="15"/>
      <c r="D34" s="15"/>
      <c r="E34" s="15"/>
      <c r="F34" s="15"/>
      <c r="G34" s="15" t="str">
        <f>IFERROR(MAX(FILTRAR(Vendas!A:A,Vendas!B:B=B34)),"")</f>
        <v/>
      </c>
      <c r="H34" s="15" t="str">
        <f>IF(B34="","",SUMIF(Vendas!B:B,B34,Vendas!G:G))</f>
        <v/>
      </c>
      <c r="I34" s="15" t="str">
        <f>IF(B34="","",COUNTIF(Vendas!B:B,B34))</f>
        <v/>
      </c>
      <c r="J34" s="15">
        <f t="shared" si="2"/>
        <v>0</v>
      </c>
      <c r="K34" s="15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5" t="str">
        <f t="shared" si="1"/>
        <v>C035</v>
      </c>
      <c r="B35" s="15"/>
      <c r="C35" s="15"/>
      <c r="D35" s="15"/>
      <c r="E35" s="15"/>
      <c r="F35" s="15"/>
      <c r="G35" s="15" t="str">
        <f>IFERROR(MAX(FILTRAR(Vendas!A:A,Vendas!B:B=B35)),"")</f>
        <v/>
      </c>
      <c r="H35" s="15" t="str">
        <f>IF(B35="","",SUMIF(Vendas!B:B,B35,Vendas!G:G))</f>
        <v/>
      </c>
      <c r="I35" s="15" t="str">
        <f>IF(B35="","",COUNTIF(Vendas!B:B,B35))</f>
        <v/>
      </c>
      <c r="J35" s="15">
        <f t="shared" si="2"/>
        <v>0</v>
      </c>
      <c r="K35" s="15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5" t="str">
        <f t="shared" si="1"/>
        <v>C036</v>
      </c>
      <c r="B36" s="15"/>
      <c r="C36" s="15"/>
      <c r="D36" s="15"/>
      <c r="E36" s="15"/>
      <c r="F36" s="15"/>
      <c r="G36" s="15" t="str">
        <f>IFERROR(MAX(FILTRAR(Vendas!A:A,Vendas!B:B=B36)),"")</f>
        <v/>
      </c>
      <c r="H36" s="15" t="str">
        <f>IF(B36="","",SUMIF(Vendas!B:B,B36,Vendas!G:G))</f>
        <v/>
      </c>
      <c r="I36" s="15" t="str">
        <f>IF(B36="","",COUNTIF(Vendas!B:B,B36))</f>
        <v/>
      </c>
      <c r="J36" s="15">
        <f t="shared" si="2"/>
        <v>0</v>
      </c>
      <c r="K36" s="15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5" t="str">
        <f t="shared" si="1"/>
        <v>C037</v>
      </c>
      <c r="B37" s="15"/>
      <c r="C37" s="15"/>
      <c r="D37" s="15"/>
      <c r="E37" s="15"/>
      <c r="F37" s="15"/>
      <c r="G37" s="15" t="str">
        <f>IFERROR(MAX(FILTRAR(Vendas!A:A,Vendas!B:B=B37)),"")</f>
        <v/>
      </c>
      <c r="H37" s="15" t="str">
        <f>IF(B37="","",SUMIF(Vendas!B:B,B37,Vendas!G:G))</f>
        <v/>
      </c>
      <c r="I37" s="15" t="str">
        <f>IF(B37="","",COUNTIF(Vendas!B:B,B37))</f>
        <v/>
      </c>
      <c r="J37" s="15">
        <f t="shared" si="2"/>
        <v>0</v>
      </c>
      <c r="K37" s="15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5" t="str">
        <f t="shared" si="1"/>
        <v>C038</v>
      </c>
      <c r="B38" s="15"/>
      <c r="C38" s="15"/>
      <c r="D38" s="15"/>
      <c r="E38" s="15"/>
      <c r="F38" s="15"/>
      <c r="G38" s="15" t="str">
        <f>IFERROR(MAX(FILTRAR(Vendas!A:A,Vendas!B:B=B38)),"")</f>
        <v/>
      </c>
      <c r="H38" s="15" t="str">
        <f>IF(B38="","",SUMIF(Vendas!B:B,B38,Vendas!G:G))</f>
        <v/>
      </c>
      <c r="I38" s="15" t="str">
        <f>IF(B38="","",COUNTIF(Vendas!B:B,B38))</f>
        <v/>
      </c>
      <c r="J38" s="15">
        <f t="shared" si="2"/>
        <v>0</v>
      </c>
      <c r="K38" s="15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5" t="str">
        <f t="shared" si="1"/>
        <v>C039</v>
      </c>
      <c r="B39" s="15"/>
      <c r="C39" s="15"/>
      <c r="D39" s="15"/>
      <c r="E39" s="15"/>
      <c r="F39" s="15"/>
      <c r="G39" s="15" t="str">
        <f>IFERROR(MAX(FILTRAR(Vendas!A:A,Vendas!B:B=B39)),"")</f>
        <v/>
      </c>
      <c r="H39" s="15" t="str">
        <f>IF(B39="","",SUMIF(Vendas!B:B,B39,Vendas!G:G))</f>
        <v/>
      </c>
      <c r="I39" s="15" t="str">
        <f>IF(B39="","",COUNTIF(Vendas!B:B,B39))</f>
        <v/>
      </c>
      <c r="J39" s="15">
        <f t="shared" si="2"/>
        <v>0</v>
      </c>
      <c r="K39" s="15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5" t="str">
        <f t="shared" si="1"/>
        <v>C040</v>
      </c>
      <c r="B40" s="15"/>
      <c r="C40" s="15"/>
      <c r="D40" s="15"/>
      <c r="E40" s="15"/>
      <c r="F40" s="15"/>
      <c r="G40" s="15" t="str">
        <f>IFERROR(MAX(FILTRAR(Vendas!A:A,Vendas!B:B=B40)),"")</f>
        <v/>
      </c>
      <c r="H40" s="15" t="str">
        <f>IF(B40="","",SUMIF(Vendas!B:B,B40,Vendas!G:G))</f>
        <v/>
      </c>
      <c r="I40" s="15" t="str">
        <f>IF(B40="","",COUNTIF(Vendas!B:B,B40))</f>
        <v/>
      </c>
      <c r="J40" s="15">
        <f t="shared" si="2"/>
        <v>0</v>
      </c>
      <c r="K40" s="15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5" t="str">
        <f t="shared" si="1"/>
        <v>C041</v>
      </c>
      <c r="B41" s="15"/>
      <c r="C41" s="15"/>
      <c r="D41" s="15"/>
      <c r="E41" s="15"/>
      <c r="F41" s="15"/>
      <c r="G41" s="15" t="str">
        <f>IFERROR(MAX(FILTRAR(Vendas!A:A,Vendas!B:B=B41)),"")</f>
        <v/>
      </c>
      <c r="H41" s="15" t="str">
        <f>IF(B41="","",SUMIF(Vendas!B:B,B41,Vendas!G:G))</f>
        <v/>
      </c>
      <c r="I41" s="15" t="str">
        <f>IF(B41="","",COUNTIF(Vendas!B:B,B41))</f>
        <v/>
      </c>
      <c r="J41" s="15">
        <f t="shared" si="2"/>
        <v>0</v>
      </c>
      <c r="K41" s="15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5" t="str">
        <f t="shared" si="1"/>
        <v>C042</v>
      </c>
      <c r="B42" s="15"/>
      <c r="C42" s="15"/>
      <c r="D42" s="15"/>
      <c r="E42" s="15"/>
      <c r="F42" s="15"/>
      <c r="G42" s="15" t="str">
        <f>IFERROR(MAX(FILTRAR(Vendas!A:A,Vendas!B:B=B42)),"")</f>
        <v/>
      </c>
      <c r="H42" s="15" t="str">
        <f>IF(B42="","",SUMIF(Vendas!B:B,B42,Vendas!G:G))</f>
        <v/>
      </c>
      <c r="I42" s="15" t="str">
        <f>IF(B42="","",COUNTIF(Vendas!B:B,B42))</f>
        <v/>
      </c>
      <c r="J42" s="15">
        <f t="shared" si="2"/>
        <v>0</v>
      </c>
      <c r="K42" s="15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5" t="str">
        <f t="shared" si="1"/>
        <v>C043</v>
      </c>
      <c r="B43" s="15"/>
      <c r="C43" s="15"/>
      <c r="D43" s="15"/>
      <c r="E43" s="15"/>
      <c r="F43" s="15"/>
      <c r="G43" s="15" t="str">
        <f>IFERROR(MAX(FILTRAR(Vendas!A:A,Vendas!B:B=B43)),"")</f>
        <v/>
      </c>
      <c r="H43" s="15" t="str">
        <f>IF(B43="","",SUMIF(Vendas!B:B,B43,Vendas!G:G))</f>
        <v/>
      </c>
      <c r="I43" s="15" t="str">
        <f>IF(B43="","",COUNTIF(Vendas!B:B,B43))</f>
        <v/>
      </c>
      <c r="J43" s="15">
        <f t="shared" si="2"/>
        <v>0</v>
      </c>
      <c r="K43" s="15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5" t="str">
        <f t="shared" si="1"/>
        <v>C044</v>
      </c>
      <c r="B44" s="15"/>
      <c r="C44" s="15"/>
      <c r="D44" s="15"/>
      <c r="E44" s="15"/>
      <c r="F44" s="15"/>
      <c r="G44" s="15" t="str">
        <f>IFERROR(MAX(FILTRAR(Vendas!A:A,Vendas!B:B=B44)),"")</f>
        <v/>
      </c>
      <c r="H44" s="15" t="str">
        <f>IF(B44="","",SUMIF(Vendas!B:B,B44,Vendas!G:G))</f>
        <v/>
      </c>
      <c r="I44" s="15" t="str">
        <f>IF(B44="","",COUNTIF(Vendas!B:B,B44))</f>
        <v/>
      </c>
      <c r="J44" s="15">
        <f t="shared" si="2"/>
        <v>0</v>
      </c>
      <c r="K44" s="15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5" t="str">
        <f t="shared" si="1"/>
        <v>C045</v>
      </c>
      <c r="B45" s="15"/>
      <c r="C45" s="15"/>
      <c r="D45" s="15"/>
      <c r="E45" s="15"/>
      <c r="F45" s="15"/>
      <c r="G45" s="15" t="str">
        <f>IFERROR(MAX(FILTRAR(Vendas!A:A,Vendas!B:B=B45)),"")</f>
        <v/>
      </c>
      <c r="H45" s="15" t="str">
        <f>IF(B45="","",SUMIF(Vendas!B:B,B45,Vendas!G:G))</f>
        <v/>
      </c>
      <c r="I45" s="15" t="str">
        <f>IF(B45="","",COUNTIF(Vendas!B:B,B45))</f>
        <v/>
      </c>
      <c r="J45" s="15">
        <f t="shared" si="2"/>
        <v>0</v>
      </c>
      <c r="K45" s="15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5" t="str">
        <f t="shared" si="1"/>
        <v>C046</v>
      </c>
      <c r="B46" s="15"/>
      <c r="C46" s="15"/>
      <c r="D46" s="15"/>
      <c r="E46" s="15"/>
      <c r="F46" s="15"/>
      <c r="G46" s="15" t="str">
        <f>IFERROR(MAX(FILTRAR(Vendas!A:A,Vendas!B:B=B46)),"")</f>
        <v/>
      </c>
      <c r="H46" s="15" t="str">
        <f>IF(B46="","",SUMIF(Vendas!B:B,B46,Vendas!G:G))</f>
        <v/>
      </c>
      <c r="I46" s="15" t="str">
        <f>IF(B46="","",COUNTIF(Vendas!B:B,B46))</f>
        <v/>
      </c>
      <c r="J46" s="15">
        <f t="shared" si="2"/>
        <v>0</v>
      </c>
      <c r="K46" s="15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5" t="str">
        <f t="shared" si="1"/>
        <v>C047</v>
      </c>
      <c r="B47" s="15"/>
      <c r="C47" s="15"/>
      <c r="D47" s="15"/>
      <c r="E47" s="15"/>
      <c r="F47" s="15"/>
      <c r="G47" s="15" t="str">
        <f>IFERROR(MAX(FILTRAR(Vendas!A:A,Vendas!B:B=B47)),"")</f>
        <v/>
      </c>
      <c r="H47" s="15" t="str">
        <f>IF(B47="","",SUMIF(Vendas!B:B,B47,Vendas!G:G))</f>
        <v/>
      </c>
      <c r="I47" s="15" t="str">
        <f>IF(B47="","",COUNTIF(Vendas!B:B,B47))</f>
        <v/>
      </c>
      <c r="J47" s="15">
        <f t="shared" si="2"/>
        <v>0</v>
      </c>
      <c r="K47" s="15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5" t="str">
        <f t="shared" si="1"/>
        <v>C048</v>
      </c>
      <c r="B48" s="15"/>
      <c r="C48" s="15"/>
      <c r="D48" s="15"/>
      <c r="E48" s="15"/>
      <c r="F48" s="15"/>
      <c r="G48" s="15" t="str">
        <f>IFERROR(MAX(FILTRAR(Vendas!A:A,Vendas!B:B=B48)),"")</f>
        <v/>
      </c>
      <c r="H48" s="15" t="str">
        <f>IF(B48="","",SUMIF(Vendas!B:B,B48,Vendas!G:G))</f>
        <v/>
      </c>
      <c r="I48" s="15" t="str">
        <f>IF(B48="","",COUNTIF(Vendas!B:B,B48))</f>
        <v/>
      </c>
      <c r="J48" s="15">
        <f t="shared" si="2"/>
        <v>0</v>
      </c>
      <c r="K48" s="15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5" t="str">
        <f t="shared" si="1"/>
        <v>C049</v>
      </c>
      <c r="B49" s="15"/>
      <c r="C49" s="15"/>
      <c r="D49" s="15"/>
      <c r="E49" s="15"/>
      <c r="F49" s="15"/>
      <c r="G49" s="15" t="str">
        <f>IFERROR(MAX(FILTRAR(Vendas!A:A,Vendas!B:B=B49)),"")</f>
        <v/>
      </c>
      <c r="H49" s="15" t="str">
        <f>IF(B49="","",SUMIF(Vendas!B:B,B49,Vendas!G:G))</f>
        <v/>
      </c>
      <c r="I49" s="15" t="str">
        <f>IF(B49="","",COUNTIF(Vendas!B:B,B49))</f>
        <v/>
      </c>
      <c r="J49" s="15">
        <f t="shared" si="2"/>
        <v>0</v>
      </c>
      <c r="K49" s="15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5" t="str">
        <f t="shared" si="1"/>
        <v>C050</v>
      </c>
      <c r="B50" s="15"/>
      <c r="C50" s="15"/>
      <c r="D50" s="15"/>
      <c r="E50" s="15"/>
      <c r="F50" s="15"/>
      <c r="G50" s="15" t="str">
        <f>IFERROR(MAX(FILTRAR(Vendas!A:A,Vendas!B:B=B50)),"")</f>
        <v/>
      </c>
      <c r="H50" s="15" t="str">
        <f>IF(B50="","",SUMIF(Vendas!B:B,B50,Vendas!G:G))</f>
        <v/>
      </c>
      <c r="I50" s="15" t="str">
        <f>IF(B50="","",COUNTIF(Vendas!B:B,B50))</f>
        <v/>
      </c>
      <c r="J50" s="15">
        <f t="shared" si="2"/>
        <v>0</v>
      </c>
      <c r="K50" s="15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5" t="str">
        <f t="shared" si="1"/>
        <v>C051</v>
      </c>
      <c r="B51" s="15"/>
      <c r="C51" s="15"/>
      <c r="D51" s="15"/>
      <c r="E51" s="15"/>
      <c r="F51" s="15"/>
      <c r="G51" s="15" t="str">
        <f>IFERROR(MAX(FILTRAR(Vendas!A:A,Vendas!B:B=B51)),"")</f>
        <v/>
      </c>
      <c r="H51" s="15" t="str">
        <f>IF(B51="","",SUMIF(Vendas!B:B,B51,Vendas!G:G))</f>
        <v/>
      </c>
      <c r="I51" s="15" t="str">
        <f>IF(B51="","",COUNTIF(Vendas!B:B,B51))</f>
        <v/>
      </c>
      <c r="J51" s="15">
        <f t="shared" si="2"/>
        <v>0</v>
      </c>
      <c r="K51" s="15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5" t="str">
        <f t="shared" si="1"/>
        <v>C052</v>
      </c>
      <c r="B52" s="15"/>
      <c r="C52" s="15"/>
      <c r="D52" s="15"/>
      <c r="E52" s="15"/>
      <c r="F52" s="15"/>
      <c r="G52" s="15" t="str">
        <f>IFERROR(MAX(FILTRAR(Vendas!A:A,Vendas!B:B=B52)),"")</f>
        <v/>
      </c>
      <c r="H52" s="15" t="str">
        <f>IF(B52="","",SUMIF(Vendas!B:B,B52,Vendas!G:G))</f>
        <v/>
      </c>
      <c r="I52" s="15" t="str">
        <f>IF(B52="","",COUNTIF(Vendas!B:B,B52))</f>
        <v/>
      </c>
      <c r="J52" s="15">
        <f t="shared" si="2"/>
        <v>0</v>
      </c>
      <c r="K52" s="15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5" t="str">
        <f t="shared" si="1"/>
        <v>C053</v>
      </c>
      <c r="B53" s="15"/>
      <c r="C53" s="15"/>
      <c r="D53" s="15"/>
      <c r="E53" s="15"/>
      <c r="F53" s="15"/>
      <c r="G53" s="15" t="str">
        <f>IFERROR(MAX(FILTRAR(Vendas!A:A,Vendas!B:B=B53)),"")</f>
        <v/>
      </c>
      <c r="H53" s="15" t="str">
        <f>IF(B53="","",SUMIF(Vendas!B:B,B53,Vendas!G:G))</f>
        <v/>
      </c>
      <c r="I53" s="15" t="str">
        <f>IF(B53="","",COUNTIF(Vendas!B:B,B53))</f>
        <v/>
      </c>
      <c r="J53" s="15">
        <f t="shared" si="2"/>
        <v>0</v>
      </c>
      <c r="K53" s="15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5" t="str">
        <f t="shared" si="1"/>
        <v>C054</v>
      </c>
      <c r="B54" s="15"/>
      <c r="C54" s="15"/>
      <c r="D54" s="15"/>
      <c r="E54" s="15"/>
      <c r="F54" s="15"/>
      <c r="G54" s="15" t="str">
        <f>IFERROR(MAX(FILTRAR(Vendas!A:A,Vendas!B:B=B54)),"")</f>
        <v/>
      </c>
      <c r="H54" s="15" t="str">
        <f>IF(B54="","",SUMIF(Vendas!B:B,B54,Vendas!G:G))</f>
        <v/>
      </c>
      <c r="I54" s="15" t="str">
        <f>IF(B54="","",COUNTIF(Vendas!B:B,B54))</f>
        <v/>
      </c>
      <c r="J54" s="15">
        <f t="shared" si="2"/>
        <v>0</v>
      </c>
      <c r="K54" s="15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5" t="str">
        <f t="shared" si="1"/>
        <v>C055</v>
      </c>
      <c r="B55" s="15"/>
      <c r="C55" s="15"/>
      <c r="D55" s="15"/>
      <c r="E55" s="15"/>
      <c r="F55" s="15"/>
      <c r="G55" s="15" t="str">
        <f>IFERROR(MAX(FILTRAR(Vendas!A:A,Vendas!B:B=B55)),"")</f>
        <v/>
      </c>
      <c r="H55" s="15" t="str">
        <f>IF(B55="","",SUMIF(Vendas!B:B,B55,Vendas!G:G))</f>
        <v/>
      </c>
      <c r="I55" s="15" t="str">
        <f>IF(B55="","",COUNTIF(Vendas!B:B,B55))</f>
        <v/>
      </c>
      <c r="J55" s="15">
        <f t="shared" si="2"/>
        <v>0</v>
      </c>
      <c r="K55" s="15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5" t="str">
        <f t="shared" si="1"/>
        <v>C056</v>
      </c>
      <c r="B56" s="15"/>
      <c r="C56" s="15"/>
      <c r="D56" s="15"/>
      <c r="E56" s="15"/>
      <c r="F56" s="15"/>
      <c r="G56" s="15" t="str">
        <f>IFERROR(MAX(FILTRAR(Vendas!A:A,Vendas!B:B=B56)),"")</f>
        <v/>
      </c>
      <c r="H56" s="15" t="str">
        <f>IF(B56="","",SUMIF(Vendas!B:B,B56,Vendas!G:G))</f>
        <v/>
      </c>
      <c r="I56" s="15" t="str">
        <f>IF(B56="","",COUNTIF(Vendas!B:B,B56))</f>
        <v/>
      </c>
      <c r="J56" s="15">
        <f t="shared" si="2"/>
        <v>0</v>
      </c>
      <c r="K56" s="15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5" t="str">
        <f t="shared" si="1"/>
        <v>C057</v>
      </c>
      <c r="B57" s="15"/>
      <c r="C57" s="15"/>
      <c r="D57" s="15"/>
      <c r="E57" s="15"/>
      <c r="F57" s="15"/>
      <c r="G57" s="15" t="str">
        <f>IFERROR(MAX(FILTRAR(Vendas!A:A,Vendas!B:B=B57)),"")</f>
        <v/>
      </c>
      <c r="H57" s="15" t="str">
        <f>IF(B57="","",SUMIF(Vendas!B:B,B57,Vendas!G:G))</f>
        <v/>
      </c>
      <c r="I57" s="15" t="str">
        <f>IF(B57="","",COUNTIF(Vendas!B:B,B57))</f>
        <v/>
      </c>
      <c r="J57" s="15">
        <f t="shared" si="2"/>
        <v>0</v>
      </c>
      <c r="K57" s="15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5" t="str">
        <f t="shared" si="1"/>
        <v>C058</v>
      </c>
      <c r="B58" s="15"/>
      <c r="C58" s="15"/>
      <c r="D58" s="15"/>
      <c r="E58" s="15"/>
      <c r="F58" s="15"/>
      <c r="G58" s="15" t="str">
        <f>IFERROR(MAX(FILTRAR(Vendas!A:A,Vendas!B:B=B58)),"")</f>
        <v/>
      </c>
      <c r="H58" s="15" t="str">
        <f>IF(B58="","",SUMIF(Vendas!B:B,B58,Vendas!G:G))</f>
        <v/>
      </c>
      <c r="I58" s="15" t="str">
        <f>IF(B58="","",COUNTIF(Vendas!B:B,B58))</f>
        <v/>
      </c>
      <c r="J58" s="15">
        <f t="shared" si="2"/>
        <v>0</v>
      </c>
      <c r="K58" s="15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5" t="str">
        <f t="shared" si="1"/>
        <v>C059</v>
      </c>
      <c r="B59" s="15"/>
      <c r="C59" s="15"/>
      <c r="D59" s="15"/>
      <c r="E59" s="15"/>
      <c r="F59" s="15"/>
      <c r="G59" s="15" t="str">
        <f>IFERROR(MAX(FILTRAR(Vendas!A:A,Vendas!B:B=B59)),"")</f>
        <v/>
      </c>
      <c r="H59" s="15" t="str">
        <f>IF(B59="","",SUMIF(Vendas!B:B,B59,Vendas!G:G))</f>
        <v/>
      </c>
      <c r="I59" s="15" t="str">
        <f>IF(B59="","",COUNTIF(Vendas!B:B,B59))</f>
        <v/>
      </c>
      <c r="J59" s="15">
        <f t="shared" si="2"/>
        <v>0</v>
      </c>
      <c r="K59" s="15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5" t="str">
        <f t="shared" si="1"/>
        <v>C060</v>
      </c>
      <c r="B60" s="15"/>
      <c r="C60" s="15"/>
      <c r="D60" s="15"/>
      <c r="E60" s="15"/>
      <c r="F60" s="15"/>
      <c r="G60" s="15" t="str">
        <f>IFERROR(MAX(FILTRAR(Vendas!A:A,Vendas!B:B=B60)),"")</f>
        <v/>
      </c>
      <c r="H60" s="15" t="str">
        <f>IF(B60="","",SUMIF(Vendas!B:B,B60,Vendas!G:G))</f>
        <v/>
      </c>
      <c r="I60" s="15" t="str">
        <f>IF(B60="","",COUNTIF(Vendas!B:B,B60))</f>
        <v/>
      </c>
      <c r="J60" s="15">
        <f t="shared" si="2"/>
        <v>0</v>
      </c>
      <c r="K60" s="15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5" t="str">
        <f t="shared" si="1"/>
        <v>C061</v>
      </c>
      <c r="B61" s="15"/>
      <c r="C61" s="15"/>
      <c r="D61" s="15"/>
      <c r="E61" s="15"/>
      <c r="F61" s="15"/>
      <c r="G61" s="15" t="str">
        <f>IFERROR(MAX(FILTRAR(Vendas!A:A,Vendas!B:B=B61)),"")</f>
        <v/>
      </c>
      <c r="H61" s="15" t="str">
        <f>IF(B61="","",SUMIF(Vendas!B:B,B61,Vendas!G:G))</f>
        <v/>
      </c>
      <c r="I61" s="15" t="str">
        <f>IF(B61="","",COUNTIF(Vendas!B:B,B61))</f>
        <v/>
      </c>
      <c r="J61" s="15">
        <f t="shared" si="2"/>
        <v>0</v>
      </c>
      <c r="K61" s="15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5" t="str">
        <f t="shared" si="1"/>
        <v>C062</v>
      </c>
      <c r="B62" s="15"/>
      <c r="C62" s="15"/>
      <c r="D62" s="15"/>
      <c r="E62" s="15"/>
      <c r="F62" s="15"/>
      <c r="G62" s="15" t="str">
        <f>IFERROR(MAX(FILTRAR(Vendas!A:A,Vendas!B:B=B62)),"")</f>
        <v/>
      </c>
      <c r="H62" s="15" t="str">
        <f>IF(B62="","",SUMIF(Vendas!B:B,B62,Vendas!G:G))</f>
        <v/>
      </c>
      <c r="I62" s="15" t="str">
        <f>IF(B62="","",COUNTIF(Vendas!B:B,B62))</f>
        <v/>
      </c>
      <c r="J62" s="15">
        <f t="shared" si="2"/>
        <v>0</v>
      </c>
      <c r="K62" s="15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5" t="str">
        <f t="shared" si="1"/>
        <v>C063</v>
      </c>
      <c r="B63" s="15"/>
      <c r="C63" s="15"/>
      <c r="D63" s="15"/>
      <c r="E63" s="15"/>
      <c r="F63" s="15"/>
      <c r="G63" s="15" t="str">
        <f>IFERROR(MAX(FILTRAR(Vendas!A:A,Vendas!B:B=B63)),"")</f>
        <v/>
      </c>
      <c r="H63" s="15" t="str">
        <f>IF(B63="","",SUMIF(Vendas!B:B,B63,Vendas!G:G))</f>
        <v/>
      </c>
      <c r="I63" s="15" t="str">
        <f>IF(B63="","",COUNTIF(Vendas!B:B,B63))</f>
        <v/>
      </c>
      <c r="J63" s="15">
        <f t="shared" si="2"/>
        <v>0</v>
      </c>
      <c r="K63" s="15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5" t="str">
        <f t="shared" si="1"/>
        <v>C064</v>
      </c>
      <c r="B64" s="15"/>
      <c r="C64" s="15"/>
      <c r="D64" s="15"/>
      <c r="E64" s="15"/>
      <c r="F64" s="15"/>
      <c r="G64" s="15" t="str">
        <f>IFERROR(MAX(FILTRAR(Vendas!A:A,Vendas!B:B=B64)),"")</f>
        <v/>
      </c>
      <c r="H64" s="15" t="str">
        <f>IF(B64="","",SUMIF(Vendas!B:B,B64,Vendas!G:G))</f>
        <v/>
      </c>
      <c r="I64" s="15" t="str">
        <f>IF(B64="","",COUNTIF(Vendas!B:B,B64))</f>
        <v/>
      </c>
      <c r="J64" s="15">
        <f t="shared" si="2"/>
        <v>0</v>
      </c>
      <c r="K64" s="15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5" t="str">
        <f t="shared" si="1"/>
        <v>C065</v>
      </c>
      <c r="B65" s="15"/>
      <c r="C65" s="15"/>
      <c r="D65" s="15"/>
      <c r="E65" s="15"/>
      <c r="F65" s="15"/>
      <c r="G65" s="15" t="str">
        <f>IFERROR(MAX(FILTRAR(Vendas!A:A,Vendas!B:B=B65)),"")</f>
        <v/>
      </c>
      <c r="H65" s="15" t="str">
        <f>IF(B65="","",SUMIF(Vendas!B:B,B65,Vendas!G:G))</f>
        <v/>
      </c>
      <c r="I65" s="15" t="str">
        <f>IF(B65="","",COUNTIF(Vendas!B:B,B65))</f>
        <v/>
      </c>
      <c r="J65" s="15">
        <f t="shared" si="2"/>
        <v>0</v>
      </c>
      <c r="K65" s="15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5" t="str">
        <f t="shared" si="1"/>
        <v>C066</v>
      </c>
      <c r="B66" s="15"/>
      <c r="C66" s="15"/>
      <c r="D66" s="15"/>
      <c r="E66" s="15"/>
      <c r="F66" s="15"/>
      <c r="G66" s="15" t="str">
        <f>IFERROR(MAX(FILTRAR(Vendas!A:A,Vendas!B:B=B66)),"")</f>
        <v/>
      </c>
      <c r="H66" s="15" t="str">
        <f>IF(B66="","",SUMIF(Vendas!B:B,B66,Vendas!G:G))</f>
        <v/>
      </c>
      <c r="I66" s="15" t="str">
        <f>IF(B66="","",COUNTIF(Vendas!B:B,B66))</f>
        <v/>
      </c>
      <c r="J66" s="15">
        <f t="shared" si="2"/>
        <v>0</v>
      </c>
      <c r="K66" s="15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5" t="str">
        <f t="shared" si="1"/>
        <v>C067</v>
      </c>
      <c r="B67" s="15"/>
      <c r="C67" s="15"/>
      <c r="D67" s="15"/>
      <c r="E67" s="15"/>
      <c r="F67" s="15"/>
      <c r="G67" s="15" t="str">
        <f>IFERROR(MAX(FILTRAR(Vendas!A:A,Vendas!B:B=B67)),"")</f>
        <v/>
      </c>
      <c r="H67" s="15" t="str">
        <f>IF(B67="","",SUMIF(Vendas!B:B,B67,Vendas!G:G))</f>
        <v/>
      </c>
      <c r="I67" s="15" t="str">
        <f>IF(B67="","",COUNTIF(Vendas!B:B,B67))</f>
        <v/>
      </c>
      <c r="J67" s="15">
        <f t="shared" si="2"/>
        <v>0</v>
      </c>
      <c r="K67" s="15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5" t="str">
        <f t="shared" si="1"/>
        <v>C068</v>
      </c>
      <c r="B68" s="15"/>
      <c r="C68" s="15"/>
      <c r="D68" s="15"/>
      <c r="E68" s="15"/>
      <c r="F68" s="15"/>
      <c r="G68" s="15" t="str">
        <f>IFERROR(MAX(FILTRAR(Vendas!A:A,Vendas!B:B=B68)),"")</f>
        <v/>
      </c>
      <c r="H68" s="15" t="str">
        <f>IF(B68="","",SUMIF(Vendas!B:B,B68,Vendas!G:G))</f>
        <v/>
      </c>
      <c r="I68" s="15" t="str">
        <f>IF(B68="","",COUNTIF(Vendas!B:B,B68))</f>
        <v/>
      </c>
      <c r="J68" s="15">
        <f t="shared" si="2"/>
        <v>0</v>
      </c>
      <c r="K68" s="15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5" t="str">
        <f t="shared" si="1"/>
        <v>C069</v>
      </c>
      <c r="B69" s="15"/>
      <c r="C69" s="15"/>
      <c r="D69" s="15"/>
      <c r="E69" s="15"/>
      <c r="F69" s="15"/>
      <c r="G69" s="15" t="str">
        <f>IFERROR(MAX(FILTRAR(Vendas!A:A,Vendas!B:B=B69)),"")</f>
        <v/>
      </c>
      <c r="H69" s="15" t="str">
        <f>IF(B69="","",SUMIF(Vendas!B:B,B69,Vendas!G:G))</f>
        <v/>
      </c>
      <c r="I69" s="15" t="str">
        <f>IF(B69="","",COUNTIF(Vendas!B:B,B69))</f>
        <v/>
      </c>
      <c r="J69" s="15">
        <f t="shared" si="2"/>
        <v>0</v>
      </c>
      <c r="K69" s="15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5" t="str">
        <f t="shared" si="1"/>
        <v>C070</v>
      </c>
      <c r="B70" s="15"/>
      <c r="C70" s="15"/>
      <c r="D70" s="15"/>
      <c r="E70" s="15"/>
      <c r="F70" s="15"/>
      <c r="G70" s="15" t="str">
        <f>IFERROR(MAX(FILTRAR(Vendas!A:A,Vendas!B:B=B70)),"")</f>
        <v/>
      </c>
      <c r="H70" s="15" t="str">
        <f>IF(B70="","",SUMIF(Vendas!B:B,B70,Vendas!G:G))</f>
        <v/>
      </c>
      <c r="I70" s="15" t="str">
        <f>IF(B70="","",COUNTIF(Vendas!B:B,B70))</f>
        <v/>
      </c>
      <c r="J70" s="15">
        <f t="shared" si="2"/>
        <v>0</v>
      </c>
      <c r="K70" s="15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5" t="str">
        <f t="shared" si="1"/>
        <v>C071</v>
      </c>
      <c r="B71" s="15"/>
      <c r="C71" s="15"/>
      <c r="D71" s="15"/>
      <c r="E71" s="15"/>
      <c r="F71" s="15"/>
      <c r="G71" s="15" t="str">
        <f>IFERROR(MAX(FILTRAR(Vendas!A:A,Vendas!B:B=B71)),"")</f>
        <v/>
      </c>
      <c r="H71" s="15" t="str">
        <f>IF(B71="","",SUMIF(Vendas!B:B,B71,Vendas!G:G))</f>
        <v/>
      </c>
      <c r="I71" s="15" t="str">
        <f>IF(B71="","",COUNTIF(Vendas!B:B,B71))</f>
        <v/>
      </c>
      <c r="J71" s="15">
        <f t="shared" si="2"/>
        <v>0</v>
      </c>
      <c r="K71" s="15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5" t="str">
        <f t="shared" si="1"/>
        <v>C072</v>
      </c>
      <c r="B72" s="15"/>
      <c r="C72" s="15"/>
      <c r="D72" s="15"/>
      <c r="E72" s="15"/>
      <c r="F72" s="15"/>
      <c r="G72" s="15" t="str">
        <f>IFERROR(MAX(FILTRAR(Vendas!A:A,Vendas!B:B=B72)),"")</f>
        <v/>
      </c>
      <c r="H72" s="15" t="str">
        <f>IF(B72="","",SUMIF(Vendas!B:B,B72,Vendas!G:G))</f>
        <v/>
      </c>
      <c r="I72" s="15" t="str">
        <f>IF(B72="","",COUNTIF(Vendas!B:B,B72))</f>
        <v/>
      </c>
      <c r="J72" s="15">
        <f t="shared" si="2"/>
        <v>0</v>
      </c>
      <c r="K72" s="15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5" t="str">
        <f t="shared" si="1"/>
        <v>C073</v>
      </c>
      <c r="B73" s="15"/>
      <c r="C73" s="15"/>
      <c r="D73" s="15"/>
      <c r="E73" s="15"/>
      <c r="F73" s="15"/>
      <c r="G73" s="15" t="str">
        <f>IFERROR(MAX(FILTRAR(Vendas!A:A,Vendas!B:B=B73)),"")</f>
        <v/>
      </c>
      <c r="H73" s="15" t="str">
        <f>IF(B73="","",SUMIF(Vendas!B:B,B73,Vendas!G:G))</f>
        <v/>
      </c>
      <c r="I73" s="15" t="str">
        <f>IF(B73="","",COUNTIF(Vendas!B:B,B73))</f>
        <v/>
      </c>
      <c r="J73" s="15">
        <f t="shared" si="2"/>
        <v>0</v>
      </c>
      <c r="K73" s="15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5" t="str">
        <f t="shared" si="1"/>
        <v>C074</v>
      </c>
      <c r="B74" s="15"/>
      <c r="C74" s="15"/>
      <c r="D74" s="15"/>
      <c r="E74" s="15"/>
      <c r="F74" s="15"/>
      <c r="G74" s="15" t="str">
        <f>IFERROR(MAX(FILTRAR(Vendas!A:A,Vendas!B:B=B74)),"")</f>
        <v/>
      </c>
      <c r="H74" s="15" t="str">
        <f>IF(B74="","",SUMIF(Vendas!B:B,B74,Vendas!G:G))</f>
        <v/>
      </c>
      <c r="I74" s="15" t="str">
        <f>IF(B74="","",COUNTIF(Vendas!B:B,B74))</f>
        <v/>
      </c>
      <c r="J74" s="15">
        <f t="shared" si="2"/>
        <v>0</v>
      </c>
      <c r="K74" s="15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5" t="str">
        <f t="shared" si="1"/>
        <v>C075</v>
      </c>
      <c r="B75" s="15"/>
      <c r="C75" s="15"/>
      <c r="D75" s="15"/>
      <c r="E75" s="15"/>
      <c r="F75" s="15"/>
      <c r="G75" s="15" t="str">
        <f>IFERROR(MAX(FILTRAR(Vendas!A:A,Vendas!B:B=B75)),"")</f>
        <v/>
      </c>
      <c r="H75" s="15" t="str">
        <f>IF(B75="","",SUMIF(Vendas!B:B,B75,Vendas!G:G))</f>
        <v/>
      </c>
      <c r="I75" s="15" t="str">
        <f>IF(B75="","",COUNTIF(Vendas!B:B,B75))</f>
        <v/>
      </c>
      <c r="J75" s="15">
        <f t="shared" si="2"/>
        <v>0</v>
      </c>
      <c r="K75" s="15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5" t="str">
        <f t="shared" si="1"/>
        <v>C076</v>
      </c>
      <c r="B76" s="15"/>
      <c r="C76" s="15"/>
      <c r="D76" s="15"/>
      <c r="E76" s="15"/>
      <c r="F76" s="15"/>
      <c r="G76" s="15" t="str">
        <f>IFERROR(MAX(FILTRAR(Vendas!A:A,Vendas!B:B=B76)),"")</f>
        <v/>
      </c>
      <c r="H76" s="15" t="str">
        <f>IF(B76="","",SUMIF(Vendas!B:B,B76,Vendas!G:G))</f>
        <v/>
      </c>
      <c r="I76" s="15" t="str">
        <f>IF(B76="","",COUNTIF(Vendas!B:B,B76))</f>
        <v/>
      </c>
      <c r="J76" s="15">
        <f t="shared" si="2"/>
        <v>0</v>
      </c>
      <c r="K76" s="15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5" t="str">
        <f t="shared" si="1"/>
        <v>C077</v>
      </c>
      <c r="B77" s="15"/>
      <c r="C77" s="15"/>
      <c r="D77" s="15"/>
      <c r="E77" s="15"/>
      <c r="F77" s="15"/>
      <c r="G77" s="15" t="str">
        <f>IFERROR(MAX(FILTRAR(Vendas!A:A,Vendas!B:B=B77)),"")</f>
        <v/>
      </c>
      <c r="H77" s="15" t="str">
        <f>IF(B77="","",SUMIF(Vendas!B:B,B77,Vendas!G:G))</f>
        <v/>
      </c>
      <c r="I77" s="15" t="str">
        <f>IF(B77="","",COUNTIF(Vendas!B:B,B77))</f>
        <v/>
      </c>
      <c r="J77" s="15">
        <f t="shared" si="2"/>
        <v>0</v>
      </c>
      <c r="K77" s="15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5" t="str">
        <f t="shared" si="1"/>
        <v>C078</v>
      </c>
      <c r="B78" s="15"/>
      <c r="C78" s="15"/>
      <c r="D78" s="15"/>
      <c r="E78" s="15"/>
      <c r="F78" s="15"/>
      <c r="G78" s="15" t="str">
        <f>IFERROR(MAX(FILTRAR(Vendas!A:A,Vendas!B:B=B78)),"")</f>
        <v/>
      </c>
      <c r="H78" s="15" t="str">
        <f>IF(B78="","",SUMIF(Vendas!B:B,B78,Vendas!G:G))</f>
        <v/>
      </c>
      <c r="I78" s="15" t="str">
        <f>IF(B78="","",COUNTIF(Vendas!B:B,B78))</f>
        <v/>
      </c>
      <c r="J78" s="15">
        <f t="shared" si="2"/>
        <v>0</v>
      </c>
      <c r="K78" s="15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5" t="str">
        <f t="shared" si="1"/>
        <v>C079</v>
      </c>
      <c r="B79" s="15"/>
      <c r="C79" s="15"/>
      <c r="D79" s="15"/>
      <c r="E79" s="15"/>
      <c r="F79" s="15"/>
      <c r="G79" s="15" t="str">
        <f>IFERROR(MAX(FILTRAR(Vendas!A:A,Vendas!B:B=B79)),"")</f>
        <v/>
      </c>
      <c r="H79" s="15" t="str">
        <f>IF(B79="","",SUMIF(Vendas!B:B,B79,Vendas!G:G))</f>
        <v/>
      </c>
      <c r="I79" s="15" t="str">
        <f>IF(B79="","",COUNTIF(Vendas!B:B,B79))</f>
        <v/>
      </c>
      <c r="J79" s="15">
        <f t="shared" si="2"/>
        <v>0</v>
      </c>
      <c r="K79" s="15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5" t="str">
        <f t="shared" si="1"/>
        <v>C080</v>
      </c>
      <c r="B80" s="15"/>
      <c r="C80" s="15"/>
      <c r="D80" s="15"/>
      <c r="E80" s="15"/>
      <c r="F80" s="15"/>
      <c r="G80" s="15" t="str">
        <f>IFERROR(MAX(FILTRAR(Vendas!A:A,Vendas!B:B=B80)),"")</f>
        <v/>
      </c>
      <c r="H80" s="15" t="str">
        <f>IF(B80="","",SUMIF(Vendas!B:B,B80,Vendas!G:G))</f>
        <v/>
      </c>
      <c r="I80" s="15" t="str">
        <f>IF(B80="","",COUNTIF(Vendas!B:B,B80))</f>
        <v/>
      </c>
      <c r="J80" s="15">
        <f t="shared" si="2"/>
        <v>0</v>
      </c>
      <c r="K80" s="15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5" t="str">
        <f t="shared" si="1"/>
        <v>C081</v>
      </c>
      <c r="B81" s="15"/>
      <c r="C81" s="15"/>
      <c r="D81" s="15"/>
      <c r="E81" s="15"/>
      <c r="F81" s="15"/>
      <c r="G81" s="15" t="str">
        <f>IFERROR(MAX(FILTRAR(Vendas!A:A,Vendas!B:B=B81)),"")</f>
        <v/>
      </c>
      <c r="H81" s="15" t="str">
        <f>IF(B81="","",SUMIF(Vendas!B:B,B81,Vendas!G:G))</f>
        <v/>
      </c>
      <c r="I81" s="15" t="str">
        <f>IF(B81="","",COUNTIF(Vendas!B:B,B81))</f>
        <v/>
      </c>
      <c r="J81" s="15">
        <f t="shared" si="2"/>
        <v>0</v>
      </c>
      <c r="K81" s="15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5" t="str">
        <f t="shared" si="1"/>
        <v>C082</v>
      </c>
      <c r="B82" s="15"/>
      <c r="C82" s="15"/>
      <c r="D82" s="15"/>
      <c r="E82" s="15"/>
      <c r="F82" s="15"/>
      <c r="G82" s="15" t="str">
        <f>IFERROR(MAX(FILTRAR(Vendas!A:A,Vendas!B:B=B82)),"")</f>
        <v/>
      </c>
      <c r="H82" s="15" t="str">
        <f>IF(B82="","",SUMIF(Vendas!B:B,B82,Vendas!G:G))</f>
        <v/>
      </c>
      <c r="I82" s="15" t="str">
        <f>IF(B82="","",COUNTIF(Vendas!B:B,B82))</f>
        <v/>
      </c>
      <c r="J82" s="15">
        <f t="shared" si="2"/>
        <v>0</v>
      </c>
      <c r="K82" s="15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5" t="str">
        <f t="shared" si="1"/>
        <v>C083</v>
      </c>
      <c r="B83" s="15"/>
      <c r="C83" s="15"/>
      <c r="D83" s="15"/>
      <c r="E83" s="15"/>
      <c r="F83" s="15"/>
      <c r="G83" s="15" t="str">
        <f>IFERROR(MAX(FILTRAR(Vendas!A:A,Vendas!B:B=B83)),"")</f>
        <v/>
      </c>
      <c r="H83" s="15" t="str">
        <f>IF(B83="","",SUMIF(Vendas!B:B,B83,Vendas!G:G))</f>
        <v/>
      </c>
      <c r="I83" s="15" t="str">
        <f>IF(B83="","",COUNTIF(Vendas!B:B,B83))</f>
        <v/>
      </c>
      <c r="J83" s="15">
        <f t="shared" si="2"/>
        <v>0</v>
      </c>
      <c r="K83" s="15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5" t="str">
        <f t="shared" si="1"/>
        <v>C084</v>
      </c>
      <c r="B84" s="15"/>
      <c r="C84" s="15"/>
      <c r="D84" s="15"/>
      <c r="E84" s="15"/>
      <c r="F84" s="15"/>
      <c r="G84" s="15" t="str">
        <f>IFERROR(MAX(FILTRAR(Vendas!A:A,Vendas!B:B=B84)),"")</f>
        <v/>
      </c>
      <c r="H84" s="15" t="str">
        <f>IF(B84="","",SUMIF(Vendas!B:B,B84,Vendas!G:G))</f>
        <v/>
      </c>
      <c r="I84" s="15" t="str">
        <f>IF(B84="","",COUNTIF(Vendas!B:B,B84))</f>
        <v/>
      </c>
      <c r="J84" s="15">
        <f t="shared" si="2"/>
        <v>0</v>
      </c>
      <c r="K84" s="15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5" t="str">
        <f t="shared" si="1"/>
        <v>C085</v>
      </c>
      <c r="B85" s="15"/>
      <c r="C85" s="15"/>
      <c r="D85" s="15"/>
      <c r="E85" s="15"/>
      <c r="F85" s="15"/>
      <c r="G85" s="15" t="str">
        <f>IFERROR(MAX(FILTRAR(Vendas!A:A,Vendas!B:B=B85)),"")</f>
        <v/>
      </c>
      <c r="H85" s="15" t="str">
        <f>IF(B85="","",SUMIF(Vendas!B:B,B85,Vendas!G:G))</f>
        <v/>
      </c>
      <c r="I85" s="15" t="str">
        <f>IF(B85="","",COUNTIF(Vendas!B:B,B85))</f>
        <v/>
      </c>
      <c r="J85" s="15">
        <f t="shared" si="2"/>
        <v>0</v>
      </c>
      <c r="K85" s="15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5" t="str">
        <f t="shared" si="1"/>
        <v>C086</v>
      </c>
      <c r="B86" s="15"/>
      <c r="C86" s="15"/>
      <c r="D86" s="15"/>
      <c r="E86" s="15"/>
      <c r="F86" s="15"/>
      <c r="G86" s="15" t="str">
        <f>IFERROR(MAX(FILTRAR(Vendas!A:A,Vendas!B:B=B86)),"")</f>
        <v/>
      </c>
      <c r="H86" s="15" t="str">
        <f>IF(B86="","",SUMIF(Vendas!B:B,B86,Vendas!G:G))</f>
        <v/>
      </c>
      <c r="I86" s="15" t="str">
        <f>IF(B86="","",COUNTIF(Vendas!B:B,B86))</f>
        <v/>
      </c>
      <c r="J86" s="15">
        <f t="shared" si="2"/>
        <v>0</v>
      </c>
      <c r="K86" s="15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5" t="str">
        <f t="shared" si="1"/>
        <v>C087</v>
      </c>
      <c r="B87" s="15"/>
      <c r="C87" s="15"/>
      <c r="D87" s="15"/>
      <c r="E87" s="15"/>
      <c r="F87" s="15"/>
      <c r="G87" s="15" t="str">
        <f>IFERROR(MAX(FILTRAR(Vendas!A:A,Vendas!B:B=B87)),"")</f>
        <v/>
      </c>
      <c r="H87" s="15" t="str">
        <f>IF(B87="","",SUMIF(Vendas!B:B,B87,Vendas!G:G))</f>
        <v/>
      </c>
      <c r="I87" s="15" t="str">
        <f>IF(B87="","",COUNTIF(Vendas!B:B,B87))</f>
        <v/>
      </c>
      <c r="J87" s="15">
        <f t="shared" si="2"/>
        <v>0</v>
      </c>
      <c r="K87" s="15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5" t="str">
        <f t="shared" si="1"/>
        <v>C088</v>
      </c>
      <c r="B88" s="15"/>
      <c r="C88" s="15"/>
      <c r="D88" s="15"/>
      <c r="E88" s="15"/>
      <c r="F88" s="15"/>
      <c r="G88" s="15" t="str">
        <f>IFERROR(MAX(FILTRAR(Vendas!A:A,Vendas!B:B=B88)),"")</f>
        <v/>
      </c>
      <c r="H88" s="15" t="str">
        <f>IF(B88="","",SUMIF(Vendas!B:B,B88,Vendas!G:G))</f>
        <v/>
      </c>
      <c r="I88" s="15" t="str">
        <f>IF(B88="","",COUNTIF(Vendas!B:B,B88))</f>
        <v/>
      </c>
      <c r="J88" s="15">
        <f t="shared" si="2"/>
        <v>0</v>
      </c>
      <c r="K88" s="15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5" t="str">
        <f t="shared" si="1"/>
        <v>C089</v>
      </c>
      <c r="B89" s="15"/>
      <c r="C89" s="15"/>
      <c r="D89" s="15"/>
      <c r="E89" s="15"/>
      <c r="F89" s="15"/>
      <c r="G89" s="15" t="str">
        <f>IFERROR(MAX(FILTRAR(Vendas!A:A,Vendas!B:B=B89)),"")</f>
        <v/>
      </c>
      <c r="H89" s="15" t="str">
        <f>IF(B89="","",SUMIF(Vendas!B:B,B89,Vendas!G:G))</f>
        <v/>
      </c>
      <c r="I89" s="15" t="str">
        <f>IF(B89="","",COUNTIF(Vendas!B:B,B89))</f>
        <v/>
      </c>
      <c r="J89" s="15">
        <f t="shared" si="2"/>
        <v>0</v>
      </c>
      <c r="K89" s="15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5" t="str">
        <f t="shared" si="1"/>
        <v>C090</v>
      </c>
      <c r="B90" s="15"/>
      <c r="C90" s="15"/>
      <c r="D90" s="15"/>
      <c r="E90" s="15"/>
      <c r="F90" s="15"/>
      <c r="G90" s="15" t="str">
        <f>IFERROR(MAX(FILTRAR(Vendas!A:A,Vendas!B:B=B90)),"")</f>
        <v/>
      </c>
      <c r="H90" s="15" t="str">
        <f>IF(B90="","",SUMIF(Vendas!B:B,B90,Vendas!G:G))</f>
        <v/>
      </c>
      <c r="I90" s="15" t="str">
        <f>IF(B90="","",COUNTIF(Vendas!B:B,B90))</f>
        <v/>
      </c>
      <c r="J90" s="15">
        <f t="shared" si="2"/>
        <v>0</v>
      </c>
      <c r="K90" s="15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5" t="str">
        <f t="shared" si="1"/>
        <v>C091</v>
      </c>
      <c r="B91" s="15"/>
      <c r="C91" s="15"/>
      <c r="D91" s="15"/>
      <c r="E91" s="15"/>
      <c r="F91" s="15"/>
      <c r="G91" s="15" t="str">
        <f>IFERROR(MAX(FILTRAR(Vendas!A:A,Vendas!B:B=B91)),"")</f>
        <v/>
      </c>
      <c r="H91" s="15" t="str">
        <f>IF(B91="","",SUMIF(Vendas!B:B,B91,Vendas!G:G))</f>
        <v/>
      </c>
      <c r="I91" s="15" t="str">
        <f>IF(B91="","",COUNTIF(Vendas!B:B,B91))</f>
        <v/>
      </c>
      <c r="J91" s="15">
        <f t="shared" si="2"/>
        <v>0</v>
      </c>
      <c r="K91" s="15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5" t="str">
        <f t="shared" si="1"/>
        <v>C092</v>
      </c>
      <c r="B92" s="15"/>
      <c r="C92" s="15"/>
      <c r="D92" s="15"/>
      <c r="E92" s="15"/>
      <c r="F92" s="15"/>
      <c r="G92" s="15" t="str">
        <f>IFERROR(MAX(FILTRAR(Vendas!A:A,Vendas!B:B=B92)),"")</f>
        <v/>
      </c>
      <c r="H92" s="15" t="str">
        <f>IF(B92="","",SUMIF(Vendas!B:B,B92,Vendas!G:G))</f>
        <v/>
      </c>
      <c r="I92" s="15" t="str">
        <f>IF(B92="","",COUNTIF(Vendas!B:B,B92))</f>
        <v/>
      </c>
      <c r="J92" s="15">
        <f t="shared" si="2"/>
        <v>0</v>
      </c>
      <c r="K92" s="15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5" t="str">
        <f t="shared" si="1"/>
        <v>C093</v>
      </c>
      <c r="B93" s="15"/>
      <c r="C93" s="15"/>
      <c r="D93" s="15"/>
      <c r="E93" s="15"/>
      <c r="F93" s="15"/>
      <c r="G93" s="15" t="str">
        <f>IFERROR(MAX(FILTRAR(Vendas!A:A,Vendas!B:B=B93)),"")</f>
        <v/>
      </c>
      <c r="H93" s="15" t="str">
        <f>IF(B93="","",SUMIF(Vendas!B:B,B93,Vendas!G:G))</f>
        <v/>
      </c>
      <c r="I93" s="15" t="str">
        <f>IF(B93="","",COUNTIF(Vendas!B:B,B93))</f>
        <v/>
      </c>
      <c r="J93" s="15">
        <f t="shared" si="2"/>
        <v>0</v>
      </c>
      <c r="K93" s="15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5" t="str">
        <f t="shared" si="1"/>
        <v>C094</v>
      </c>
      <c r="B94" s="15"/>
      <c r="C94" s="15"/>
      <c r="D94" s="15"/>
      <c r="E94" s="15"/>
      <c r="F94" s="15"/>
      <c r="G94" s="15" t="str">
        <f>IFERROR(MAX(FILTRAR(Vendas!A:A,Vendas!B:B=B94)),"")</f>
        <v/>
      </c>
      <c r="H94" s="15" t="str">
        <f>IF(B94="","",SUMIF(Vendas!B:B,B94,Vendas!G:G))</f>
        <v/>
      </c>
      <c r="I94" s="15" t="str">
        <f>IF(B94="","",COUNTIF(Vendas!B:B,B94))</f>
        <v/>
      </c>
      <c r="J94" s="15">
        <f t="shared" si="2"/>
        <v>0</v>
      </c>
      <c r="K94" s="15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5" t="str">
        <f t="shared" si="1"/>
        <v>C095</v>
      </c>
      <c r="B95" s="15"/>
      <c r="C95" s="15"/>
      <c r="D95" s="15"/>
      <c r="E95" s="15"/>
      <c r="F95" s="15"/>
      <c r="G95" s="15" t="str">
        <f>IFERROR(MAX(FILTRAR(Vendas!A:A,Vendas!B:B=B95)),"")</f>
        <v/>
      </c>
      <c r="H95" s="15" t="str">
        <f>IF(B95="","",SUMIF(Vendas!B:B,B95,Vendas!G:G))</f>
        <v/>
      </c>
      <c r="I95" s="15" t="str">
        <f>IF(B95="","",COUNTIF(Vendas!B:B,B95))</f>
        <v/>
      </c>
      <c r="J95" s="15">
        <f t="shared" si="2"/>
        <v>0</v>
      </c>
      <c r="K95" s="15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5" t="str">
        <f t="shared" si="1"/>
        <v>C096</v>
      </c>
      <c r="B96" s="15"/>
      <c r="C96" s="15"/>
      <c r="D96" s="15"/>
      <c r="E96" s="15"/>
      <c r="F96" s="15"/>
      <c r="G96" s="15" t="str">
        <f>IFERROR(MAX(FILTRAR(Vendas!A:A,Vendas!B:B=B96)),"")</f>
        <v/>
      </c>
      <c r="H96" s="15" t="str">
        <f>IF(B96="","",SUMIF(Vendas!B:B,B96,Vendas!G:G))</f>
        <v/>
      </c>
      <c r="I96" s="15" t="str">
        <f>IF(B96="","",COUNTIF(Vendas!B:B,B96))</f>
        <v/>
      </c>
      <c r="J96" s="15">
        <f t="shared" si="2"/>
        <v>0</v>
      </c>
      <c r="K96" s="15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5" t="str">
        <f t="shared" si="1"/>
        <v>C097</v>
      </c>
      <c r="B97" s="15"/>
      <c r="C97" s="15"/>
      <c r="D97" s="15"/>
      <c r="E97" s="15"/>
      <c r="F97" s="15"/>
      <c r="G97" s="15" t="str">
        <f>IFERROR(MAX(FILTRAR(Vendas!A:A,Vendas!B:B=B97)),"")</f>
        <v/>
      </c>
      <c r="H97" s="15" t="str">
        <f>IF(B97="","",SUMIF(Vendas!B:B,B97,Vendas!G:G))</f>
        <v/>
      </c>
      <c r="I97" s="15" t="str">
        <f>IF(B97="","",COUNTIF(Vendas!B:B,B97))</f>
        <v/>
      </c>
      <c r="J97" s="15">
        <f t="shared" si="2"/>
        <v>0</v>
      </c>
      <c r="K97" s="15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5" t="str">
        <f t="shared" si="1"/>
        <v>C098</v>
      </c>
      <c r="B98" s="15"/>
      <c r="C98" s="15"/>
      <c r="D98" s="15"/>
      <c r="E98" s="15"/>
      <c r="F98" s="15"/>
      <c r="G98" s="15" t="str">
        <f>IFERROR(MAX(FILTRAR(Vendas!A:A,Vendas!B:B=B98)),"")</f>
        <v/>
      </c>
      <c r="H98" s="15" t="str">
        <f>IF(B98="","",SUMIF(Vendas!B:B,B98,Vendas!G:G))</f>
        <v/>
      </c>
      <c r="I98" s="15" t="str">
        <f>IF(B98="","",COUNTIF(Vendas!B:B,B98))</f>
        <v/>
      </c>
      <c r="J98" s="15">
        <f t="shared" si="2"/>
        <v>0</v>
      </c>
      <c r="K98" s="15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5" t="str">
        <f t="shared" si="1"/>
        <v>C099</v>
      </c>
      <c r="B99" s="15"/>
      <c r="C99" s="15"/>
      <c r="D99" s="15"/>
      <c r="E99" s="15"/>
      <c r="F99" s="15"/>
      <c r="G99" s="15" t="str">
        <f>IFERROR(MAX(FILTRAR(Vendas!A:A,Vendas!B:B=B99)),"")</f>
        <v/>
      </c>
      <c r="H99" s="15" t="str">
        <f>IF(B99="","",SUMIF(Vendas!B:B,B99,Vendas!G:G))</f>
        <v/>
      </c>
      <c r="I99" s="15" t="str">
        <f>IF(B99="","",COUNTIF(Vendas!B:B,B99))</f>
        <v/>
      </c>
      <c r="J99" s="15">
        <f t="shared" si="2"/>
        <v>0</v>
      </c>
      <c r="K99" s="15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5" t="str">
        <f t="shared" si="1"/>
        <v>C100</v>
      </c>
      <c r="B100" s="15"/>
      <c r="C100" s="15"/>
      <c r="D100" s="15"/>
      <c r="E100" s="15"/>
      <c r="F100" s="15"/>
      <c r="G100" s="15" t="str">
        <f>IFERROR(MAX(FILTRAR(Vendas!A:A,Vendas!B:B=B100)),"")</f>
        <v/>
      </c>
      <c r="H100" s="15" t="str">
        <f>IF(B100="","",SUMIF(Vendas!B:B,B100,Vendas!G:G))</f>
        <v/>
      </c>
      <c r="I100" s="15" t="str">
        <f>IF(B100="","",COUNTIF(Vendas!B:B,B100))</f>
        <v/>
      </c>
      <c r="J100" s="15">
        <f t="shared" si="2"/>
        <v>0</v>
      </c>
      <c r="K100" s="15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5" t="str">
        <f t="shared" si="1"/>
        <v>C101</v>
      </c>
      <c r="B101" s="15"/>
      <c r="C101" s="15"/>
      <c r="D101" s="15"/>
      <c r="E101" s="15"/>
      <c r="F101" s="15"/>
      <c r="G101" s="15" t="str">
        <f>IFERROR(MAX(FILTRAR(Vendas!A:A,Vendas!B:B=B101)),"")</f>
        <v/>
      </c>
      <c r="H101" s="15" t="str">
        <f>IF(B101="","",SUMIF(Vendas!B:B,B101,Vendas!G:G))</f>
        <v/>
      </c>
      <c r="I101" s="15" t="str">
        <f>IF(B101="","",COUNTIF(Vendas!B:B,B101))</f>
        <v/>
      </c>
      <c r="J101" s="15">
        <f t="shared" si="2"/>
        <v>0</v>
      </c>
      <c r="K101" s="15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5" t="str">
        <f t="shared" si="1"/>
        <v>C102</v>
      </c>
      <c r="B102" s="15"/>
      <c r="C102" s="15"/>
      <c r="D102" s="15"/>
      <c r="E102" s="15"/>
      <c r="F102" s="15"/>
      <c r="G102" s="15" t="str">
        <f>IFERROR(MAX(FILTRAR(Vendas!A:A,Vendas!B:B=B102)),"")</f>
        <v/>
      </c>
      <c r="H102" s="15" t="str">
        <f>IF(B102="","",SUMIF(Vendas!B:B,B102,Vendas!G:G))</f>
        <v/>
      </c>
      <c r="I102" s="15" t="str">
        <f>IF(B102="","",COUNTIF(Vendas!B:B,B102))</f>
        <v/>
      </c>
      <c r="J102" s="15">
        <f t="shared" si="2"/>
        <v>0</v>
      </c>
      <c r="K102" s="15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5" t="str">
        <f t="shared" si="1"/>
        <v>C103</v>
      </c>
      <c r="B103" s="15"/>
      <c r="C103" s="15"/>
      <c r="D103" s="15"/>
      <c r="E103" s="15"/>
      <c r="F103" s="15"/>
      <c r="G103" s="15" t="str">
        <f>IFERROR(MAX(FILTRAR(Vendas!A:A,Vendas!B:B=B103)),"")</f>
        <v/>
      </c>
      <c r="H103" s="15" t="str">
        <f>IF(B103="","",SUMIF(Vendas!B:B,B103,Vendas!G:G))</f>
        <v/>
      </c>
      <c r="I103" s="15" t="str">
        <f>IF(B103="","",COUNTIF(Vendas!B:B,B103))</f>
        <v/>
      </c>
      <c r="J103" s="15">
        <f t="shared" si="2"/>
        <v>0</v>
      </c>
      <c r="K103" s="15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5" t="str">
        <f t="shared" si="1"/>
        <v>C104</v>
      </c>
      <c r="B104" s="15"/>
      <c r="C104" s="15"/>
      <c r="D104" s="15"/>
      <c r="E104" s="15"/>
      <c r="F104" s="15"/>
      <c r="G104" s="15" t="str">
        <f>IFERROR(MAX(FILTRAR(Vendas!A:A,Vendas!B:B=B104)),"")</f>
        <v/>
      </c>
      <c r="H104" s="15" t="str">
        <f>IF(B104="","",SUMIF(Vendas!B:B,B104,Vendas!G:G))</f>
        <v/>
      </c>
      <c r="I104" s="15" t="str">
        <f>IF(B104="","",COUNTIF(Vendas!B:B,B104))</f>
        <v/>
      </c>
      <c r="J104" s="15">
        <f t="shared" si="2"/>
        <v>0</v>
      </c>
      <c r="K104" s="15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5" t="str">
        <f t="shared" si="1"/>
        <v>C105</v>
      </c>
      <c r="B105" s="15"/>
      <c r="C105" s="15"/>
      <c r="D105" s="15"/>
      <c r="E105" s="15"/>
      <c r="F105" s="15"/>
      <c r="G105" s="15" t="str">
        <f>IFERROR(MAX(FILTRAR(Vendas!A:A,Vendas!B:B=B105)),"")</f>
        <v/>
      </c>
      <c r="H105" s="15" t="str">
        <f>IF(B105="","",SUMIF(Vendas!B:B,B105,Vendas!G:G))</f>
        <v/>
      </c>
      <c r="I105" s="15" t="str">
        <f>IF(B105="","",COUNTIF(Vendas!B:B,B105))</f>
        <v/>
      </c>
      <c r="J105" s="15">
        <f t="shared" si="2"/>
        <v>0</v>
      </c>
      <c r="K105" s="15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5" t="str">
        <f t="shared" si="1"/>
        <v>C106</v>
      </c>
      <c r="B106" s="15"/>
      <c r="C106" s="15"/>
      <c r="D106" s="15"/>
      <c r="E106" s="15"/>
      <c r="F106" s="15"/>
      <c r="G106" s="15" t="str">
        <f>IFERROR(MAX(FILTRAR(Vendas!A:A,Vendas!B:B=B106)),"")</f>
        <v/>
      </c>
      <c r="H106" s="15" t="str">
        <f>IF(B106="","",SUMIF(Vendas!B:B,B106,Vendas!G:G))</f>
        <v/>
      </c>
      <c r="I106" s="15" t="str">
        <f>IF(B106="","",COUNTIF(Vendas!B:B,B106))</f>
        <v/>
      </c>
      <c r="J106" s="15">
        <f t="shared" si="2"/>
        <v>0</v>
      </c>
      <c r="K106" s="15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5" t="str">
        <f t="shared" si="1"/>
        <v>C107</v>
      </c>
      <c r="B107" s="15"/>
      <c r="C107" s="15"/>
      <c r="D107" s="15"/>
      <c r="E107" s="15"/>
      <c r="F107" s="15"/>
      <c r="G107" s="15" t="str">
        <f>IFERROR(MAX(FILTRAR(Vendas!A:A,Vendas!B:B=B107)),"")</f>
        <v/>
      </c>
      <c r="H107" s="15" t="str">
        <f>IF(B107="","",SUMIF(Vendas!B:B,B107,Vendas!G:G))</f>
        <v/>
      </c>
      <c r="I107" s="15" t="str">
        <f>IF(B107="","",COUNTIF(Vendas!B:B,B107))</f>
        <v/>
      </c>
      <c r="J107" s="15">
        <f t="shared" si="2"/>
        <v>0</v>
      </c>
      <c r="K107" s="15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5" t="str">
        <f t="shared" si="1"/>
        <v>C108</v>
      </c>
      <c r="B108" s="15"/>
      <c r="C108" s="15"/>
      <c r="D108" s="15"/>
      <c r="E108" s="15"/>
      <c r="F108" s="15"/>
      <c r="G108" s="15" t="str">
        <f>IFERROR(MAX(FILTRAR(Vendas!A:A,Vendas!B:B=B108)),"")</f>
        <v/>
      </c>
      <c r="H108" s="15" t="str">
        <f>IF(B108="","",SUMIF(Vendas!B:B,B108,Vendas!G:G))</f>
        <v/>
      </c>
      <c r="I108" s="15" t="str">
        <f>IF(B108="","",COUNTIF(Vendas!B:B,B108))</f>
        <v/>
      </c>
      <c r="J108" s="15">
        <f t="shared" si="2"/>
        <v>0</v>
      </c>
      <c r="K108" s="15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5" t="str">
        <f t="shared" si="1"/>
        <v>C109</v>
      </c>
      <c r="B109" s="15"/>
      <c r="C109" s="15"/>
      <c r="D109" s="15"/>
      <c r="E109" s="15"/>
      <c r="F109" s="15"/>
      <c r="G109" s="15" t="str">
        <f>IFERROR(MAX(FILTRAR(Vendas!A:A,Vendas!B:B=B109)),"")</f>
        <v/>
      </c>
      <c r="H109" s="15" t="str">
        <f>IF(B109="","",SUMIF(Vendas!B:B,B109,Vendas!G:G))</f>
        <v/>
      </c>
      <c r="I109" s="15" t="str">
        <f>IF(B109="","",COUNTIF(Vendas!B:B,B109))</f>
        <v/>
      </c>
      <c r="J109" s="15">
        <f t="shared" si="2"/>
        <v>0</v>
      </c>
      <c r="K109" s="15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5" t="str">
        <f t="shared" si="1"/>
        <v>C110</v>
      </c>
      <c r="B110" s="15"/>
      <c r="C110" s="15"/>
      <c r="D110" s="15"/>
      <c r="E110" s="15"/>
      <c r="F110" s="15"/>
      <c r="G110" s="15" t="str">
        <f>IFERROR(MAX(FILTRAR(Vendas!A:A,Vendas!B:B=B110)),"")</f>
        <v/>
      </c>
      <c r="H110" s="15" t="str">
        <f>IF(B110="","",SUMIF(Vendas!B:B,B110,Vendas!G:G))</f>
        <v/>
      </c>
      <c r="I110" s="15" t="str">
        <f>IF(B110="","",COUNTIF(Vendas!B:B,B110))</f>
        <v/>
      </c>
      <c r="J110" s="15">
        <f t="shared" si="2"/>
        <v>0</v>
      </c>
      <c r="K110" s="15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5" t="str">
        <f t="shared" si="1"/>
        <v>C111</v>
      </c>
      <c r="B111" s="15"/>
      <c r="C111" s="15"/>
      <c r="D111" s="15"/>
      <c r="E111" s="15"/>
      <c r="F111" s="15"/>
      <c r="G111" s="15" t="str">
        <f>IFERROR(MAX(FILTRAR(Vendas!A:A,Vendas!B:B=B111)),"")</f>
        <v/>
      </c>
      <c r="H111" s="15" t="str">
        <f>IF(B111="","",SUMIF(Vendas!B:B,B111,Vendas!G:G))</f>
        <v/>
      </c>
      <c r="I111" s="15" t="str">
        <f>IF(B111="","",COUNTIF(Vendas!B:B,B111))</f>
        <v/>
      </c>
      <c r="J111" s="15">
        <f t="shared" si="2"/>
        <v>0</v>
      </c>
      <c r="K111" s="15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5" t="str">
        <f t="shared" si="1"/>
        <v>C112</v>
      </c>
      <c r="B112" s="15"/>
      <c r="C112" s="15"/>
      <c r="D112" s="15"/>
      <c r="E112" s="15"/>
      <c r="F112" s="15"/>
      <c r="G112" s="15" t="str">
        <f>IFERROR(MAX(FILTRAR(Vendas!A:A,Vendas!B:B=B112)),"")</f>
        <v/>
      </c>
      <c r="H112" s="15" t="str">
        <f>IF(B112="","",SUMIF(Vendas!B:B,B112,Vendas!G:G))</f>
        <v/>
      </c>
      <c r="I112" s="15" t="str">
        <f>IF(B112="","",COUNTIF(Vendas!B:B,B112))</f>
        <v/>
      </c>
      <c r="J112" s="15">
        <f t="shared" si="2"/>
        <v>0</v>
      </c>
      <c r="K112" s="15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5" t="str">
        <f t="shared" si="1"/>
        <v>C113</v>
      </c>
      <c r="B113" s="15"/>
      <c r="C113" s="15"/>
      <c r="D113" s="15"/>
      <c r="E113" s="15"/>
      <c r="F113" s="15"/>
      <c r="G113" s="15" t="str">
        <f>IFERROR(MAX(FILTRAR(Vendas!A:A,Vendas!B:B=B113)),"")</f>
        <v/>
      </c>
      <c r="H113" s="15" t="str">
        <f>IF(B113="","",SUMIF(Vendas!B:B,B113,Vendas!G:G))</f>
        <v/>
      </c>
      <c r="I113" s="15" t="str">
        <f>IF(B113="","",COUNTIF(Vendas!B:B,B113))</f>
        <v/>
      </c>
      <c r="J113" s="15">
        <f t="shared" si="2"/>
        <v>0</v>
      </c>
      <c r="K113" s="15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5" t="str">
        <f t="shared" si="1"/>
        <v>C114</v>
      </c>
      <c r="B114" s="15"/>
      <c r="C114" s="15"/>
      <c r="D114" s="15"/>
      <c r="E114" s="15"/>
      <c r="F114" s="15"/>
      <c r="G114" s="15" t="str">
        <f>IFERROR(MAX(FILTRAR(Vendas!A:A,Vendas!B:B=B114)),"")</f>
        <v/>
      </c>
      <c r="H114" s="15" t="str">
        <f>IF(B114="","",SUMIF(Vendas!B:B,B114,Vendas!G:G))</f>
        <v/>
      </c>
      <c r="I114" s="15" t="str">
        <f>IF(B114="","",COUNTIF(Vendas!B:B,B114))</f>
        <v/>
      </c>
      <c r="J114" s="15">
        <f t="shared" si="2"/>
        <v>0</v>
      </c>
      <c r="K114" s="15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5" t="str">
        <f t="shared" si="1"/>
        <v>C115</v>
      </c>
      <c r="B115" s="15"/>
      <c r="C115" s="15"/>
      <c r="D115" s="15"/>
      <c r="E115" s="15"/>
      <c r="F115" s="15"/>
      <c r="G115" s="15" t="str">
        <f>IFERROR(MAX(FILTRAR(Vendas!A:A,Vendas!B:B=B115)),"")</f>
        <v/>
      </c>
      <c r="H115" s="15" t="str">
        <f>IF(B115="","",SUMIF(Vendas!B:B,B115,Vendas!G:G))</f>
        <v/>
      </c>
      <c r="I115" s="15" t="str">
        <f>IF(B115="","",COUNTIF(Vendas!B:B,B115))</f>
        <v/>
      </c>
      <c r="J115" s="15">
        <f t="shared" si="2"/>
        <v>0</v>
      </c>
      <c r="K115" s="15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5" t="str">
        <f t="shared" si="1"/>
        <v>C116</v>
      </c>
      <c r="B116" s="15"/>
      <c r="C116" s="15"/>
      <c r="D116" s="15"/>
      <c r="E116" s="15"/>
      <c r="F116" s="15"/>
      <c r="G116" s="15" t="str">
        <f>IFERROR(MAX(FILTRAR(Vendas!A:A,Vendas!B:B=B116)),"")</f>
        <v/>
      </c>
      <c r="H116" s="15" t="str">
        <f>IF(B116="","",SUMIF(Vendas!B:B,B116,Vendas!G:G))</f>
        <v/>
      </c>
      <c r="I116" s="15" t="str">
        <f>IF(B116="","",COUNTIF(Vendas!B:B,B116))</f>
        <v/>
      </c>
      <c r="J116" s="15">
        <f t="shared" si="2"/>
        <v>0</v>
      </c>
      <c r="K116" s="15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5" t="str">
        <f t="shared" si="1"/>
        <v>C117</v>
      </c>
      <c r="B117" s="15"/>
      <c r="C117" s="15"/>
      <c r="D117" s="15"/>
      <c r="E117" s="15"/>
      <c r="F117" s="15"/>
      <c r="G117" s="15" t="str">
        <f>IFERROR(MAX(FILTRAR(Vendas!A:A,Vendas!B:B=B117)),"")</f>
        <v/>
      </c>
      <c r="H117" s="15" t="str">
        <f>IF(B117="","",SUMIF(Vendas!B:B,B117,Vendas!G:G))</f>
        <v/>
      </c>
      <c r="I117" s="15" t="str">
        <f>IF(B117="","",COUNTIF(Vendas!B:B,B117))</f>
        <v/>
      </c>
      <c r="J117" s="15">
        <f t="shared" si="2"/>
        <v>0</v>
      </c>
      <c r="K117" s="15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5" t="str">
        <f t="shared" si="1"/>
        <v>C118</v>
      </c>
      <c r="B118" s="15"/>
      <c r="C118" s="15"/>
      <c r="D118" s="15"/>
      <c r="E118" s="15"/>
      <c r="F118" s="15"/>
      <c r="G118" s="15" t="str">
        <f>IFERROR(MAX(FILTRAR(Vendas!A:A,Vendas!B:B=B118)),"")</f>
        <v/>
      </c>
      <c r="H118" s="15" t="str">
        <f>IF(B118="","",SUMIF(Vendas!B:B,B118,Vendas!G:G))</f>
        <v/>
      </c>
      <c r="I118" s="15" t="str">
        <f>IF(B118="","",COUNTIF(Vendas!B:B,B118))</f>
        <v/>
      </c>
      <c r="J118" s="15">
        <f t="shared" si="2"/>
        <v>0</v>
      </c>
      <c r="K118" s="15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5" t="str">
        <f t="shared" si="1"/>
        <v>C119</v>
      </c>
      <c r="B119" s="15"/>
      <c r="C119" s="15"/>
      <c r="D119" s="15"/>
      <c r="E119" s="15"/>
      <c r="F119" s="15"/>
      <c r="G119" s="15" t="str">
        <f>IFERROR(MAX(FILTRAR(Vendas!A:A,Vendas!B:B=B119)),"")</f>
        <v/>
      </c>
      <c r="H119" s="15" t="str">
        <f>IF(B119="","",SUMIF(Vendas!B:B,B119,Vendas!G:G))</f>
        <v/>
      </c>
      <c r="I119" s="15" t="str">
        <f>IF(B119="","",COUNTIF(Vendas!B:B,B119))</f>
        <v/>
      </c>
      <c r="J119" s="15">
        <f t="shared" si="2"/>
        <v>0</v>
      </c>
      <c r="K119" s="15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5" t="str">
        <f t="shared" si="1"/>
        <v>C120</v>
      </c>
      <c r="B120" s="15"/>
      <c r="C120" s="15"/>
      <c r="D120" s="15"/>
      <c r="E120" s="15"/>
      <c r="F120" s="15"/>
      <c r="G120" s="15" t="str">
        <f>IFERROR(MAX(FILTRAR(Vendas!A:A,Vendas!B:B=B120)),"")</f>
        <v/>
      </c>
      <c r="H120" s="15" t="str">
        <f>IF(B120="","",SUMIF(Vendas!B:B,B120,Vendas!G:G))</f>
        <v/>
      </c>
      <c r="I120" s="15" t="str">
        <f>IF(B120="","",COUNTIF(Vendas!B:B,B120))</f>
        <v/>
      </c>
      <c r="J120" s="15">
        <f t="shared" si="2"/>
        <v>0</v>
      </c>
      <c r="K120" s="15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5" t="str">
        <f t="shared" si="1"/>
        <v>C121</v>
      </c>
      <c r="B121" s="15"/>
      <c r="C121" s="15"/>
      <c r="D121" s="15"/>
      <c r="E121" s="15"/>
      <c r="F121" s="15"/>
      <c r="G121" s="15" t="str">
        <f>IFERROR(MAX(FILTRAR(Vendas!A:A,Vendas!B:B=B121)),"")</f>
        <v/>
      </c>
      <c r="H121" s="15" t="str">
        <f>IF(B121="","",SUMIF(Vendas!B:B,B121,Vendas!G:G))</f>
        <v/>
      </c>
      <c r="I121" s="15" t="str">
        <f>IF(B121="","",COUNTIF(Vendas!B:B,B121))</f>
        <v/>
      </c>
      <c r="J121" s="15">
        <f t="shared" si="2"/>
        <v>0</v>
      </c>
      <c r="K121" s="15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5" t="str">
        <f t="shared" si="1"/>
        <v>C122</v>
      </c>
      <c r="B122" s="15"/>
      <c r="C122" s="15"/>
      <c r="D122" s="15"/>
      <c r="E122" s="15"/>
      <c r="F122" s="15"/>
      <c r="G122" s="15" t="str">
        <f>IFERROR(MAX(FILTRAR(Vendas!A:A,Vendas!B:B=B122)),"")</f>
        <v/>
      </c>
      <c r="H122" s="15" t="str">
        <f>IF(B122="","",SUMIF(Vendas!B:B,B122,Vendas!G:G))</f>
        <v/>
      </c>
      <c r="I122" s="15" t="str">
        <f>IF(B122="","",COUNTIF(Vendas!B:B,B122))</f>
        <v/>
      </c>
      <c r="J122" s="15">
        <f t="shared" si="2"/>
        <v>0</v>
      </c>
      <c r="K122" s="15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5" t="str">
        <f t="shared" si="1"/>
        <v>C123</v>
      </c>
      <c r="B123" s="15"/>
      <c r="C123" s="15"/>
      <c r="D123" s="15"/>
      <c r="E123" s="15"/>
      <c r="F123" s="15"/>
      <c r="G123" s="15" t="str">
        <f>IFERROR(MAX(FILTRAR(Vendas!A:A,Vendas!B:B=B123)),"")</f>
        <v/>
      </c>
      <c r="H123" s="15" t="str">
        <f>IF(B123="","",SUMIF(Vendas!B:B,B123,Vendas!G:G))</f>
        <v/>
      </c>
      <c r="I123" s="15" t="str">
        <f>IF(B123="","",COUNTIF(Vendas!B:B,B123))</f>
        <v/>
      </c>
      <c r="J123" s="15">
        <f t="shared" si="2"/>
        <v>0</v>
      </c>
      <c r="K123" s="15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5" t="str">
        <f t="shared" si="1"/>
        <v>C124</v>
      </c>
      <c r="B124" s="15"/>
      <c r="C124" s="15"/>
      <c r="D124" s="15"/>
      <c r="E124" s="15"/>
      <c r="F124" s="15"/>
      <c r="G124" s="15" t="str">
        <f>IFERROR(MAX(FILTRAR(Vendas!A:A,Vendas!B:B=B124)),"")</f>
        <v/>
      </c>
      <c r="H124" s="15" t="str">
        <f>IF(B124="","",SUMIF(Vendas!B:B,B124,Vendas!G:G))</f>
        <v/>
      </c>
      <c r="I124" s="15" t="str">
        <f>IF(B124="","",COUNTIF(Vendas!B:B,B124))</f>
        <v/>
      </c>
      <c r="J124" s="15">
        <f t="shared" si="2"/>
        <v>0</v>
      </c>
      <c r="K124" s="15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5" t="str">
        <f t="shared" si="1"/>
        <v>C125</v>
      </c>
      <c r="B125" s="15"/>
      <c r="C125" s="15"/>
      <c r="D125" s="15"/>
      <c r="E125" s="15"/>
      <c r="F125" s="15"/>
      <c r="G125" s="15" t="str">
        <f>IFERROR(MAX(FILTRAR(Vendas!A:A,Vendas!B:B=B125)),"")</f>
        <v/>
      </c>
      <c r="H125" s="15" t="str">
        <f>IF(B125="","",SUMIF(Vendas!B:B,B125,Vendas!G:G))</f>
        <v/>
      </c>
      <c r="I125" s="15" t="str">
        <f>IF(B125="","",COUNTIF(Vendas!B:B,B125))</f>
        <v/>
      </c>
      <c r="J125" s="15">
        <f t="shared" si="2"/>
        <v>0</v>
      </c>
      <c r="K125" s="15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5" t="str">
        <f t="shared" si="1"/>
        <v>C126</v>
      </c>
      <c r="B126" s="15"/>
      <c r="C126" s="15"/>
      <c r="D126" s="15"/>
      <c r="E126" s="15"/>
      <c r="F126" s="15"/>
      <c r="G126" s="15" t="str">
        <f>IFERROR(MAX(FILTRAR(Vendas!A:A,Vendas!B:B=B126)),"")</f>
        <v/>
      </c>
      <c r="H126" s="15" t="str">
        <f>IF(B126="","",SUMIF(Vendas!B:B,B126,Vendas!G:G))</f>
        <v/>
      </c>
      <c r="I126" s="15" t="str">
        <f>IF(B126="","",COUNTIF(Vendas!B:B,B126))</f>
        <v/>
      </c>
      <c r="J126" s="15">
        <f t="shared" si="2"/>
        <v>0</v>
      </c>
      <c r="K126" s="15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5" t="str">
        <f t="shared" si="1"/>
        <v>C127</v>
      </c>
      <c r="B127" s="15"/>
      <c r="C127" s="15"/>
      <c r="D127" s="15"/>
      <c r="E127" s="15"/>
      <c r="F127" s="15"/>
      <c r="G127" s="15" t="str">
        <f>IFERROR(MAX(FILTRAR(Vendas!A:A,Vendas!B:B=B127)),"")</f>
        <v/>
      </c>
      <c r="H127" s="15" t="str">
        <f>IF(B127="","",SUMIF(Vendas!B:B,B127,Vendas!G:G))</f>
        <v/>
      </c>
      <c r="I127" s="15" t="str">
        <f>IF(B127="","",COUNTIF(Vendas!B:B,B127))</f>
        <v/>
      </c>
      <c r="J127" s="15">
        <f t="shared" si="2"/>
        <v>0</v>
      </c>
      <c r="K127" s="15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5" t="str">
        <f t="shared" si="1"/>
        <v>C128</v>
      </c>
      <c r="B128" s="15"/>
      <c r="C128" s="15"/>
      <c r="D128" s="15"/>
      <c r="E128" s="15"/>
      <c r="F128" s="15"/>
      <c r="G128" s="15" t="str">
        <f>IFERROR(MAX(FILTRAR(Vendas!A:A,Vendas!B:B=B128)),"")</f>
        <v/>
      </c>
      <c r="H128" s="15" t="str">
        <f>IF(B128="","",SUMIF(Vendas!B:B,B128,Vendas!G:G))</f>
        <v/>
      </c>
      <c r="I128" s="15" t="str">
        <f>IF(B128="","",COUNTIF(Vendas!B:B,B128))</f>
        <v/>
      </c>
      <c r="J128" s="15">
        <f t="shared" si="2"/>
        <v>0</v>
      </c>
      <c r="K128" s="15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5" t="str">
        <f t="shared" si="1"/>
        <v>C129</v>
      </c>
      <c r="B129" s="15"/>
      <c r="C129" s="15"/>
      <c r="D129" s="15"/>
      <c r="E129" s="15"/>
      <c r="F129" s="15"/>
      <c r="G129" s="15" t="str">
        <f>IFERROR(MAX(FILTRAR(Vendas!A:A,Vendas!B:B=B129)),"")</f>
        <v/>
      </c>
      <c r="H129" s="15" t="str">
        <f>IF(B129="","",SUMIF(Vendas!B:B,B129,Vendas!G:G))</f>
        <v/>
      </c>
      <c r="I129" s="15" t="str">
        <f>IF(B129="","",COUNTIF(Vendas!B:B,B129))</f>
        <v/>
      </c>
      <c r="J129" s="15">
        <f t="shared" si="2"/>
        <v>0</v>
      </c>
      <c r="K129" s="15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5" t="str">
        <f t="shared" si="1"/>
        <v>C130</v>
      </c>
      <c r="B130" s="15"/>
      <c r="C130" s="15"/>
      <c r="D130" s="15"/>
      <c r="E130" s="15"/>
      <c r="F130" s="15"/>
      <c r="G130" s="15" t="str">
        <f>IFERROR(MAX(FILTRAR(Vendas!A:A,Vendas!B:B=B130)),"")</f>
        <v/>
      </c>
      <c r="H130" s="15" t="str">
        <f>IF(B130="","",SUMIF(Vendas!B:B,B130,Vendas!G:G))</f>
        <v/>
      </c>
      <c r="I130" s="15" t="str">
        <f>IF(B130="","",COUNTIF(Vendas!B:B,B130))</f>
        <v/>
      </c>
      <c r="J130" s="15">
        <f t="shared" si="2"/>
        <v>0</v>
      </c>
      <c r="K130" s="15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5" t="str">
        <f t="shared" si="1"/>
        <v>C131</v>
      </c>
      <c r="B131" s="15"/>
      <c r="C131" s="15"/>
      <c r="D131" s="15"/>
      <c r="E131" s="15"/>
      <c r="F131" s="15"/>
      <c r="G131" s="15" t="str">
        <f>IFERROR(MAX(FILTRAR(Vendas!A:A,Vendas!B:B=B131)),"")</f>
        <v/>
      </c>
      <c r="H131" s="15" t="str">
        <f>IF(B131="","",SUMIF(Vendas!B:B,B131,Vendas!G:G))</f>
        <v/>
      </c>
      <c r="I131" s="15" t="str">
        <f>IF(B131="","",COUNTIF(Vendas!B:B,B131))</f>
        <v/>
      </c>
      <c r="J131" s="15">
        <f t="shared" si="2"/>
        <v>0</v>
      </c>
      <c r="K131" s="15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5" t="str">
        <f t="shared" si="1"/>
        <v>C132</v>
      </c>
      <c r="B132" s="15"/>
      <c r="C132" s="15"/>
      <c r="D132" s="15"/>
      <c r="E132" s="15"/>
      <c r="F132" s="15"/>
      <c r="G132" s="15" t="str">
        <f>IFERROR(MAX(FILTRAR(Vendas!A:A,Vendas!B:B=B132)),"")</f>
        <v/>
      </c>
      <c r="H132" s="15" t="str">
        <f>IF(B132="","",SUMIF(Vendas!B:B,B132,Vendas!G:G))</f>
        <v/>
      </c>
      <c r="I132" s="15" t="str">
        <f>IF(B132="","",COUNTIF(Vendas!B:B,B132))</f>
        <v/>
      </c>
      <c r="J132" s="15">
        <f t="shared" si="2"/>
        <v>0</v>
      </c>
      <c r="K132" s="15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5" t="str">
        <f t="shared" si="1"/>
        <v>C133</v>
      </c>
      <c r="B133" s="15"/>
      <c r="C133" s="15"/>
      <c r="D133" s="15"/>
      <c r="E133" s="15"/>
      <c r="F133" s="15"/>
      <c r="G133" s="15" t="str">
        <f>IFERROR(MAX(FILTRAR(Vendas!A:A,Vendas!B:B=B133)),"")</f>
        <v/>
      </c>
      <c r="H133" s="15" t="str">
        <f>IF(B133="","",SUMIF(Vendas!B:B,B133,Vendas!G:G))</f>
        <v/>
      </c>
      <c r="I133" s="15" t="str">
        <f>IF(B133="","",COUNTIF(Vendas!B:B,B133))</f>
        <v/>
      </c>
      <c r="J133" s="15">
        <f t="shared" si="2"/>
        <v>0</v>
      </c>
      <c r="K133" s="15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5" t="str">
        <f t="shared" si="1"/>
        <v>C134</v>
      </c>
      <c r="B134" s="15"/>
      <c r="C134" s="15"/>
      <c r="D134" s="15"/>
      <c r="E134" s="15"/>
      <c r="F134" s="15"/>
      <c r="G134" s="15" t="str">
        <f>IFERROR(MAX(FILTRAR(Vendas!A:A,Vendas!B:B=B134)),"")</f>
        <v/>
      </c>
      <c r="H134" s="15" t="str">
        <f>IF(B134="","",SUMIF(Vendas!B:B,B134,Vendas!G:G))</f>
        <v/>
      </c>
      <c r="I134" s="15" t="str">
        <f>IF(B134="","",COUNTIF(Vendas!B:B,B134))</f>
        <v/>
      </c>
      <c r="J134" s="15">
        <f t="shared" si="2"/>
        <v>0</v>
      </c>
      <c r="K134" s="15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5" t="str">
        <f t="shared" si="1"/>
        <v>C135</v>
      </c>
      <c r="B135" s="15"/>
      <c r="C135" s="15"/>
      <c r="D135" s="15"/>
      <c r="E135" s="15"/>
      <c r="F135" s="15"/>
      <c r="G135" s="15" t="str">
        <f>IFERROR(MAX(FILTRAR(Vendas!A:A,Vendas!B:B=B135)),"")</f>
        <v/>
      </c>
      <c r="H135" s="15" t="str">
        <f>IF(B135="","",SUMIF(Vendas!B:B,B135,Vendas!G:G))</f>
        <v/>
      </c>
      <c r="I135" s="15" t="str">
        <f>IF(B135="","",COUNTIF(Vendas!B:B,B135))</f>
        <v/>
      </c>
      <c r="J135" s="15">
        <f t="shared" si="2"/>
        <v>0</v>
      </c>
      <c r="K135" s="15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5" t="str">
        <f t="shared" si="1"/>
        <v>C136</v>
      </c>
      <c r="B136" s="15"/>
      <c r="C136" s="15"/>
      <c r="D136" s="15"/>
      <c r="E136" s="15"/>
      <c r="F136" s="15"/>
      <c r="G136" s="15" t="str">
        <f>IFERROR(MAX(FILTRAR(Vendas!A:A,Vendas!B:B=B136)),"")</f>
        <v/>
      </c>
      <c r="H136" s="15" t="str">
        <f>IF(B136="","",SUMIF(Vendas!B:B,B136,Vendas!G:G))</f>
        <v/>
      </c>
      <c r="I136" s="15" t="str">
        <f>IF(B136="","",COUNTIF(Vendas!B:B,B136))</f>
        <v/>
      </c>
      <c r="J136" s="15">
        <f t="shared" si="2"/>
        <v>0</v>
      </c>
      <c r="K136" s="15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5" t="str">
        <f t="shared" si="1"/>
        <v>C137</v>
      </c>
      <c r="B137" s="15"/>
      <c r="C137" s="15"/>
      <c r="D137" s="15"/>
      <c r="E137" s="15"/>
      <c r="F137" s="15"/>
      <c r="G137" s="15" t="str">
        <f>IFERROR(MAX(FILTRAR(Vendas!A:A,Vendas!B:B=B137)),"")</f>
        <v/>
      </c>
      <c r="H137" s="15" t="str">
        <f>IF(B137="","",SUMIF(Vendas!B:B,B137,Vendas!G:G))</f>
        <v/>
      </c>
      <c r="I137" s="15" t="str">
        <f>IF(B137="","",COUNTIF(Vendas!B:B,B137))</f>
        <v/>
      </c>
      <c r="J137" s="15">
        <f t="shared" si="2"/>
        <v>0</v>
      </c>
      <c r="K137" s="15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5" t="str">
        <f t="shared" si="1"/>
        <v>C138</v>
      </c>
      <c r="B138" s="15"/>
      <c r="C138" s="15"/>
      <c r="D138" s="15"/>
      <c r="E138" s="15"/>
      <c r="F138" s="15"/>
      <c r="G138" s="15" t="str">
        <f>IFERROR(MAX(FILTRAR(Vendas!A:A,Vendas!B:B=B138)),"")</f>
        <v/>
      </c>
      <c r="H138" s="15" t="str">
        <f>IF(B138="","",SUMIF(Vendas!B:B,B138,Vendas!G:G))</f>
        <v/>
      </c>
      <c r="I138" s="15" t="str">
        <f>IF(B138="","",COUNTIF(Vendas!B:B,B138))</f>
        <v/>
      </c>
      <c r="J138" s="15">
        <f t="shared" si="2"/>
        <v>0</v>
      </c>
      <c r="K138" s="15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5" t="str">
        <f t="shared" si="1"/>
        <v>C139</v>
      </c>
      <c r="B139" s="15"/>
      <c r="C139" s="15"/>
      <c r="D139" s="15"/>
      <c r="E139" s="15"/>
      <c r="F139" s="15"/>
      <c r="G139" s="15" t="str">
        <f>IFERROR(MAX(FILTRAR(Vendas!A:A,Vendas!B:B=B139)),"")</f>
        <v/>
      </c>
      <c r="H139" s="15" t="str">
        <f>IF(B139="","",SUMIF(Vendas!B:B,B139,Vendas!G:G))</f>
        <v/>
      </c>
      <c r="I139" s="15" t="str">
        <f>IF(B139="","",COUNTIF(Vendas!B:B,B139))</f>
        <v/>
      </c>
      <c r="J139" s="15">
        <f t="shared" si="2"/>
        <v>0</v>
      </c>
      <c r="K139" s="15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5" t="str">
        <f t="shared" si="1"/>
        <v>C140</v>
      </c>
      <c r="B140" s="15"/>
      <c r="C140" s="15"/>
      <c r="D140" s="15"/>
      <c r="E140" s="15"/>
      <c r="F140" s="15"/>
      <c r="G140" s="15" t="str">
        <f>IFERROR(MAX(FILTRAR(Vendas!A:A,Vendas!B:B=B140)),"")</f>
        <v/>
      </c>
      <c r="H140" s="15" t="str">
        <f>IF(B140="","",SUMIF(Vendas!B:B,B140,Vendas!G:G))</f>
        <v/>
      </c>
      <c r="I140" s="15" t="str">
        <f>IF(B140="","",COUNTIF(Vendas!B:B,B140))</f>
        <v/>
      </c>
      <c r="J140" s="15">
        <f t="shared" si="2"/>
        <v>0</v>
      </c>
      <c r="K140" s="15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5" t="str">
        <f t="shared" si="1"/>
        <v>C141</v>
      </c>
      <c r="B141" s="15"/>
      <c r="C141" s="15"/>
      <c r="D141" s="15"/>
      <c r="E141" s="15"/>
      <c r="F141" s="15"/>
      <c r="G141" s="15" t="str">
        <f>IFERROR(MAX(FILTRAR(Vendas!A:A,Vendas!B:B=B141)),"")</f>
        <v/>
      </c>
      <c r="H141" s="15" t="str">
        <f>IF(B141="","",SUMIF(Vendas!B:B,B141,Vendas!G:G))</f>
        <v/>
      </c>
      <c r="I141" s="15" t="str">
        <f>IF(B141="","",COUNTIF(Vendas!B:B,B141))</f>
        <v/>
      </c>
      <c r="J141" s="15">
        <f t="shared" si="2"/>
        <v>0</v>
      </c>
      <c r="K141" s="15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5" t="str">
        <f t="shared" si="1"/>
        <v>C142</v>
      </c>
      <c r="B142" s="15"/>
      <c r="C142" s="15"/>
      <c r="D142" s="15"/>
      <c r="E142" s="15"/>
      <c r="F142" s="15"/>
      <c r="G142" s="15" t="str">
        <f>IFERROR(MAX(FILTRAR(Vendas!A:A,Vendas!B:B=B142)),"")</f>
        <v/>
      </c>
      <c r="H142" s="15" t="str">
        <f>IF(B142="","",SUMIF(Vendas!B:B,B142,Vendas!G:G))</f>
        <v/>
      </c>
      <c r="I142" s="15" t="str">
        <f>IF(B142="","",COUNTIF(Vendas!B:B,B142))</f>
        <v/>
      </c>
      <c r="J142" s="15">
        <f t="shared" si="2"/>
        <v>0</v>
      </c>
      <c r="K142" s="15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5" t="str">
        <f t="shared" si="1"/>
        <v>C143</v>
      </c>
      <c r="B143" s="15"/>
      <c r="C143" s="15"/>
      <c r="D143" s="15"/>
      <c r="E143" s="15"/>
      <c r="F143" s="15"/>
      <c r="G143" s="15" t="str">
        <f>IFERROR(MAX(FILTRAR(Vendas!A:A,Vendas!B:B=B143)),"")</f>
        <v/>
      </c>
      <c r="H143" s="15" t="str">
        <f>IF(B143="","",SUMIF(Vendas!B:B,B143,Vendas!G:G))</f>
        <v/>
      </c>
      <c r="I143" s="15" t="str">
        <f>IF(B143="","",COUNTIF(Vendas!B:B,B143))</f>
        <v/>
      </c>
      <c r="J143" s="15">
        <f t="shared" si="2"/>
        <v>0</v>
      </c>
      <c r="K143" s="15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5" t="str">
        <f t="shared" si="1"/>
        <v>C144</v>
      </c>
      <c r="B144" s="15"/>
      <c r="C144" s="15"/>
      <c r="D144" s="15"/>
      <c r="E144" s="15"/>
      <c r="F144" s="15"/>
      <c r="G144" s="15" t="str">
        <f>IFERROR(MAX(FILTRAR(Vendas!A:A,Vendas!B:B=B144)),"")</f>
        <v/>
      </c>
      <c r="H144" s="15" t="str">
        <f>IF(B144="","",SUMIF(Vendas!B:B,B144,Vendas!G:G))</f>
        <v/>
      </c>
      <c r="I144" s="15" t="str">
        <f>IF(B144="","",COUNTIF(Vendas!B:B,B144))</f>
        <v/>
      </c>
      <c r="J144" s="15">
        <f t="shared" si="2"/>
        <v>0</v>
      </c>
      <c r="K144" s="15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5" t="str">
        <f t="shared" si="1"/>
        <v>C145</v>
      </c>
      <c r="B145" s="15"/>
      <c r="C145" s="15"/>
      <c r="D145" s="15"/>
      <c r="E145" s="15"/>
      <c r="F145" s="15"/>
      <c r="G145" s="15" t="str">
        <f>IFERROR(MAX(FILTRAR(Vendas!A:A,Vendas!B:B=B145)),"")</f>
        <v/>
      </c>
      <c r="H145" s="15" t="str">
        <f>IF(B145="","",SUMIF(Vendas!B:B,B145,Vendas!G:G))</f>
        <v/>
      </c>
      <c r="I145" s="15" t="str">
        <f>IF(B145="","",COUNTIF(Vendas!B:B,B145))</f>
        <v/>
      </c>
      <c r="J145" s="15">
        <f t="shared" si="2"/>
        <v>0</v>
      </c>
      <c r="K145" s="15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5" t="str">
        <f t="shared" si="1"/>
        <v>C146</v>
      </c>
      <c r="B146" s="15"/>
      <c r="C146" s="15"/>
      <c r="D146" s="15"/>
      <c r="E146" s="15"/>
      <c r="F146" s="15"/>
      <c r="G146" s="15" t="str">
        <f>IFERROR(MAX(FILTRAR(Vendas!A:A,Vendas!B:B=B146)),"")</f>
        <v/>
      </c>
      <c r="H146" s="15" t="str">
        <f>IF(B146="","",SUMIF(Vendas!B:B,B146,Vendas!G:G))</f>
        <v/>
      </c>
      <c r="I146" s="15" t="str">
        <f>IF(B146="","",COUNTIF(Vendas!B:B,B146))</f>
        <v/>
      </c>
      <c r="J146" s="15">
        <f t="shared" si="2"/>
        <v>0</v>
      </c>
      <c r="K146" s="15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5" t="str">
        <f t="shared" si="1"/>
        <v>C147</v>
      </c>
      <c r="B147" s="15"/>
      <c r="C147" s="15"/>
      <c r="D147" s="15"/>
      <c r="E147" s="15"/>
      <c r="F147" s="15"/>
      <c r="G147" s="15" t="str">
        <f>IFERROR(MAX(FILTRAR(Vendas!A:A,Vendas!B:B=B147)),"")</f>
        <v/>
      </c>
      <c r="H147" s="15" t="str">
        <f>IF(B147="","",SUMIF(Vendas!B:B,B147,Vendas!G:G))</f>
        <v/>
      </c>
      <c r="I147" s="15" t="str">
        <f>IF(B147="","",COUNTIF(Vendas!B:B,B147))</f>
        <v/>
      </c>
      <c r="J147" s="15">
        <f t="shared" si="2"/>
        <v>0</v>
      </c>
      <c r="K147" s="15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5" t="str">
        <f t="shared" si="1"/>
        <v>C148</v>
      </c>
      <c r="B148" s="15"/>
      <c r="C148" s="15"/>
      <c r="D148" s="15"/>
      <c r="E148" s="15"/>
      <c r="F148" s="15"/>
      <c r="G148" s="15" t="str">
        <f>IFERROR(MAX(FILTRAR(Vendas!A:A,Vendas!B:B=B148)),"")</f>
        <v/>
      </c>
      <c r="H148" s="15" t="str">
        <f>IF(B148="","",SUMIF(Vendas!B:B,B148,Vendas!G:G))</f>
        <v/>
      </c>
      <c r="I148" s="15" t="str">
        <f>IF(B148="","",COUNTIF(Vendas!B:B,B148))</f>
        <v/>
      </c>
      <c r="J148" s="15">
        <f t="shared" si="2"/>
        <v>0</v>
      </c>
      <c r="K148" s="15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5" t="str">
        <f t="shared" si="1"/>
        <v>C149</v>
      </c>
      <c r="B149" s="15"/>
      <c r="C149" s="15"/>
      <c r="D149" s="15"/>
      <c r="E149" s="15"/>
      <c r="F149" s="15"/>
      <c r="G149" s="15" t="str">
        <f>IFERROR(MAX(FILTRAR(Vendas!A:A,Vendas!B:B=B149)),"")</f>
        <v/>
      </c>
      <c r="H149" s="15" t="str">
        <f>IF(B149="","",SUMIF(Vendas!B:B,B149,Vendas!G:G))</f>
        <v/>
      </c>
      <c r="I149" s="15" t="str">
        <f>IF(B149="","",COUNTIF(Vendas!B:B,B149))</f>
        <v/>
      </c>
      <c r="J149" s="15">
        <f t="shared" si="2"/>
        <v>0</v>
      </c>
      <c r="K149" s="15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5" t="str">
        <f t="shared" si="1"/>
        <v>C150</v>
      </c>
      <c r="B150" s="15"/>
      <c r="C150" s="15"/>
      <c r="D150" s="15"/>
      <c r="E150" s="15"/>
      <c r="F150" s="15"/>
      <c r="G150" s="15" t="str">
        <f>IFERROR(MAX(FILTRAR(Vendas!A:A,Vendas!B:B=B150)),"")</f>
        <v/>
      </c>
      <c r="H150" s="15" t="str">
        <f>IF(B150="","",SUMIF(Vendas!B:B,B150,Vendas!G:G))</f>
        <v/>
      </c>
      <c r="I150" s="15" t="str">
        <f>IF(B150="","",COUNTIF(Vendas!B:B,B150))</f>
        <v/>
      </c>
      <c r="J150" s="15">
        <f t="shared" si="2"/>
        <v>0</v>
      </c>
      <c r="K150" s="15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5" t="str">
        <f t="shared" si="1"/>
        <v>C151</v>
      </c>
      <c r="B151" s="15"/>
      <c r="C151" s="15"/>
      <c r="D151" s="15"/>
      <c r="E151" s="15"/>
      <c r="F151" s="15"/>
      <c r="G151" s="15" t="str">
        <f>IFERROR(MAX(FILTRAR(Vendas!A:A,Vendas!B:B=B151)),"")</f>
        <v/>
      </c>
      <c r="H151" s="15" t="str">
        <f>IF(B151="","",SUMIF(Vendas!B:B,B151,Vendas!G:G))</f>
        <v/>
      </c>
      <c r="I151" s="15" t="str">
        <f>IF(B151="","",COUNTIF(Vendas!B:B,B151))</f>
        <v/>
      </c>
      <c r="J151" s="15">
        <f t="shared" si="2"/>
        <v>0</v>
      </c>
      <c r="K151" s="15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5" t="str">
        <f t="shared" si="1"/>
        <v>C152</v>
      </c>
      <c r="B152" s="15"/>
      <c r="C152" s="15"/>
      <c r="D152" s="15"/>
      <c r="E152" s="15"/>
      <c r="F152" s="15"/>
      <c r="G152" s="15" t="str">
        <f>IFERROR(MAX(FILTRAR(Vendas!A:A,Vendas!B:B=B152)),"")</f>
        <v/>
      </c>
      <c r="H152" s="15" t="str">
        <f>IF(B152="","",SUMIF(Vendas!B:B,B152,Vendas!G:G))</f>
        <v/>
      </c>
      <c r="I152" s="15" t="str">
        <f>IF(B152="","",COUNTIF(Vendas!B:B,B152))</f>
        <v/>
      </c>
      <c r="J152" s="15">
        <f t="shared" si="2"/>
        <v>0</v>
      </c>
      <c r="K152" s="15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5" t="str">
        <f t="shared" si="1"/>
        <v>C153</v>
      </c>
      <c r="B153" s="15"/>
      <c r="C153" s="15"/>
      <c r="D153" s="15"/>
      <c r="E153" s="15"/>
      <c r="F153" s="15"/>
      <c r="G153" s="15" t="str">
        <f>IFERROR(MAX(FILTRAR(Vendas!A:A,Vendas!B:B=B153)),"")</f>
        <v/>
      </c>
      <c r="H153" s="15" t="str">
        <f>IF(B153="","",SUMIF(Vendas!B:B,B153,Vendas!G:G))</f>
        <v/>
      </c>
      <c r="I153" s="15" t="str">
        <f>IF(B153="","",COUNTIF(Vendas!B:B,B153))</f>
        <v/>
      </c>
      <c r="J153" s="15">
        <f t="shared" si="2"/>
        <v>0</v>
      </c>
      <c r="K153" s="15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5" t="str">
        <f t="shared" si="1"/>
        <v>C154</v>
      </c>
      <c r="B154" s="15"/>
      <c r="C154" s="15"/>
      <c r="D154" s="15"/>
      <c r="E154" s="15"/>
      <c r="F154" s="15"/>
      <c r="G154" s="15" t="str">
        <f>IFERROR(MAX(FILTRAR(Vendas!A:A,Vendas!B:B=B154)),"")</f>
        <v/>
      </c>
      <c r="H154" s="15" t="str">
        <f>IF(B154="","",SUMIF(Vendas!B:B,B154,Vendas!G:G))</f>
        <v/>
      </c>
      <c r="I154" s="15" t="str">
        <f>IF(B154="","",COUNTIF(Vendas!B:B,B154))</f>
        <v/>
      </c>
      <c r="J154" s="15">
        <f t="shared" si="2"/>
        <v>0</v>
      </c>
      <c r="K154" s="15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5" t="str">
        <f t="shared" si="1"/>
        <v>C155</v>
      </c>
      <c r="B155" s="15"/>
      <c r="C155" s="15"/>
      <c r="D155" s="15"/>
      <c r="E155" s="15"/>
      <c r="F155" s="15"/>
      <c r="G155" s="15" t="str">
        <f>IFERROR(MAX(FILTRAR(Vendas!A:A,Vendas!B:B=B155)),"")</f>
        <v/>
      </c>
      <c r="H155" s="15" t="str">
        <f>IF(B155="","",SUMIF(Vendas!B:B,B155,Vendas!G:G))</f>
        <v/>
      </c>
      <c r="I155" s="15" t="str">
        <f>IF(B155="","",COUNTIF(Vendas!B:B,B155))</f>
        <v/>
      </c>
      <c r="J155" s="15">
        <f t="shared" si="2"/>
        <v>0</v>
      </c>
      <c r="K155" s="15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5" t="str">
        <f t="shared" si="1"/>
        <v>C156</v>
      </c>
      <c r="B156" s="15"/>
      <c r="C156" s="15"/>
      <c r="D156" s="15"/>
      <c r="E156" s="15"/>
      <c r="F156" s="15"/>
      <c r="G156" s="15" t="str">
        <f>IFERROR(MAX(FILTRAR(Vendas!A:A,Vendas!B:B=B156)),"")</f>
        <v/>
      </c>
      <c r="H156" s="15" t="str">
        <f>IF(B156="","",SUMIF(Vendas!B:B,B156,Vendas!G:G))</f>
        <v/>
      </c>
      <c r="I156" s="15" t="str">
        <f>IF(B156="","",COUNTIF(Vendas!B:B,B156))</f>
        <v/>
      </c>
      <c r="J156" s="15">
        <f t="shared" si="2"/>
        <v>0</v>
      </c>
      <c r="K156" s="15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5" t="str">
        <f t="shared" si="1"/>
        <v>C157</v>
      </c>
      <c r="B157" s="15"/>
      <c r="C157" s="15"/>
      <c r="D157" s="15"/>
      <c r="E157" s="15"/>
      <c r="F157" s="15"/>
      <c r="G157" s="15" t="str">
        <f>IFERROR(MAX(FILTRAR(Vendas!A:A,Vendas!B:B=B157)),"")</f>
        <v/>
      </c>
      <c r="H157" s="15" t="str">
        <f>IF(B157="","",SUMIF(Vendas!B:B,B157,Vendas!G:G))</f>
        <v/>
      </c>
      <c r="I157" s="15" t="str">
        <f>IF(B157="","",COUNTIF(Vendas!B:B,B157))</f>
        <v/>
      </c>
      <c r="J157" s="15">
        <f t="shared" si="2"/>
        <v>0</v>
      </c>
      <c r="K157" s="15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5" t="str">
        <f t="shared" si="1"/>
        <v>C158</v>
      </c>
      <c r="B158" s="15"/>
      <c r="C158" s="15"/>
      <c r="D158" s="15"/>
      <c r="E158" s="15"/>
      <c r="F158" s="15"/>
      <c r="G158" s="15" t="str">
        <f>IFERROR(MAX(FILTRAR(Vendas!A:A,Vendas!B:B=B158)),"")</f>
        <v/>
      </c>
      <c r="H158" s="15" t="str">
        <f>IF(B158="","",SUMIF(Vendas!B:B,B158,Vendas!G:G))</f>
        <v/>
      </c>
      <c r="I158" s="15" t="str">
        <f>IF(B158="","",COUNTIF(Vendas!B:B,B158))</f>
        <v/>
      </c>
      <c r="J158" s="15">
        <f t="shared" si="2"/>
        <v>0</v>
      </c>
      <c r="K158" s="15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5" t="str">
        <f t="shared" si="1"/>
        <v>C159</v>
      </c>
      <c r="B159" s="15"/>
      <c r="C159" s="15"/>
      <c r="D159" s="15"/>
      <c r="E159" s="15"/>
      <c r="F159" s="15"/>
      <c r="G159" s="15" t="str">
        <f>IFERROR(MAX(FILTRAR(Vendas!A:A,Vendas!B:B=B159)),"")</f>
        <v/>
      </c>
      <c r="H159" s="15" t="str">
        <f>IF(B159="","",SUMIF(Vendas!B:B,B159,Vendas!G:G))</f>
        <v/>
      </c>
      <c r="I159" s="15" t="str">
        <f>IF(B159="","",COUNTIF(Vendas!B:B,B159))</f>
        <v/>
      </c>
      <c r="J159" s="15">
        <f t="shared" si="2"/>
        <v>0</v>
      </c>
      <c r="K159" s="15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5" t="str">
        <f t="shared" si="1"/>
        <v>C160</v>
      </c>
      <c r="B160" s="15"/>
      <c r="C160" s="15"/>
      <c r="D160" s="15"/>
      <c r="E160" s="15"/>
      <c r="F160" s="15"/>
      <c r="G160" s="15" t="str">
        <f>IFERROR(MAX(FILTRAR(Vendas!A:A,Vendas!B:B=B160)),"")</f>
        <v/>
      </c>
      <c r="H160" s="15" t="str">
        <f>IF(B160="","",SUMIF(Vendas!B:B,B160,Vendas!G:G))</f>
        <v/>
      </c>
      <c r="I160" s="15" t="str">
        <f>IF(B160="","",COUNTIF(Vendas!B:B,B160))</f>
        <v/>
      </c>
      <c r="J160" s="15">
        <f t="shared" si="2"/>
        <v>0</v>
      </c>
      <c r="K160" s="15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5" t="str">
        <f t="shared" si="1"/>
        <v>C161</v>
      </c>
      <c r="B161" s="15"/>
      <c r="C161" s="15"/>
      <c r="D161" s="15"/>
      <c r="E161" s="15"/>
      <c r="F161" s="15"/>
      <c r="G161" s="15" t="str">
        <f>IFERROR(MAX(FILTRAR(Vendas!A:A,Vendas!B:B=B161)),"")</f>
        <v/>
      </c>
      <c r="H161" s="15" t="str">
        <f>IF(B161="","",SUMIF(Vendas!B:B,B161,Vendas!G:G))</f>
        <v/>
      </c>
      <c r="I161" s="15" t="str">
        <f>IF(B161="","",COUNTIF(Vendas!B:B,B161))</f>
        <v/>
      </c>
      <c r="J161" s="15">
        <f t="shared" si="2"/>
        <v>0</v>
      </c>
      <c r="K161" s="15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5" t="str">
        <f t="shared" si="1"/>
        <v>C162</v>
      </c>
      <c r="B162" s="15"/>
      <c r="C162" s="15"/>
      <c r="D162" s="15"/>
      <c r="E162" s="15"/>
      <c r="F162" s="15"/>
      <c r="G162" s="15" t="str">
        <f>IFERROR(MAX(FILTRAR(Vendas!A:A,Vendas!B:B=B162)),"")</f>
        <v/>
      </c>
      <c r="H162" s="15" t="str">
        <f>IF(B162="","",SUMIF(Vendas!B:B,B162,Vendas!G:G))</f>
        <v/>
      </c>
      <c r="I162" s="15" t="str">
        <f>IF(B162="","",COUNTIF(Vendas!B:B,B162))</f>
        <v/>
      </c>
      <c r="J162" s="15">
        <f t="shared" si="2"/>
        <v>0</v>
      </c>
      <c r="K162" s="15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5" t="str">
        <f t="shared" si="1"/>
        <v>C163</v>
      </c>
      <c r="B163" s="15"/>
      <c r="C163" s="15"/>
      <c r="D163" s="15"/>
      <c r="E163" s="15"/>
      <c r="F163" s="15"/>
      <c r="G163" s="15" t="str">
        <f>IFERROR(MAX(FILTRAR(Vendas!A:A,Vendas!B:B=B163)),"")</f>
        <v/>
      </c>
      <c r="H163" s="15" t="str">
        <f>IF(B163="","",SUMIF(Vendas!B:B,B163,Vendas!G:G))</f>
        <v/>
      </c>
      <c r="I163" s="15" t="str">
        <f>IF(B163="","",COUNTIF(Vendas!B:B,B163))</f>
        <v/>
      </c>
      <c r="J163" s="15">
        <f t="shared" si="2"/>
        <v>0</v>
      </c>
      <c r="K163" s="15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5" t="str">
        <f t="shared" si="1"/>
        <v>C164</v>
      </c>
      <c r="B164" s="15"/>
      <c r="C164" s="15"/>
      <c r="D164" s="15"/>
      <c r="E164" s="15"/>
      <c r="F164" s="15"/>
      <c r="G164" s="15" t="str">
        <f>IFERROR(MAX(FILTRAR(Vendas!A:A,Vendas!B:B=B164)),"")</f>
        <v/>
      </c>
      <c r="H164" s="15" t="str">
        <f>IF(B164="","",SUMIF(Vendas!B:B,B164,Vendas!G:G))</f>
        <v/>
      </c>
      <c r="I164" s="15" t="str">
        <f>IF(B164="","",COUNTIF(Vendas!B:B,B164))</f>
        <v/>
      </c>
      <c r="J164" s="15">
        <f t="shared" si="2"/>
        <v>0</v>
      </c>
      <c r="K164" s="15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5" t="str">
        <f t="shared" si="1"/>
        <v>C165</v>
      </c>
      <c r="B165" s="15"/>
      <c r="C165" s="15"/>
      <c r="D165" s="15"/>
      <c r="E165" s="15"/>
      <c r="F165" s="15"/>
      <c r="G165" s="15" t="str">
        <f>IFERROR(MAX(FILTRAR(Vendas!A:A,Vendas!B:B=B165)),"")</f>
        <v/>
      </c>
      <c r="H165" s="15" t="str">
        <f>IF(B165="","",SUMIF(Vendas!B:B,B165,Vendas!G:G))</f>
        <v/>
      </c>
      <c r="I165" s="15" t="str">
        <f>IF(B165="","",COUNTIF(Vendas!B:B,B165))</f>
        <v/>
      </c>
      <c r="J165" s="15">
        <f t="shared" si="2"/>
        <v>0</v>
      </c>
      <c r="K165" s="15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5" t="str">
        <f t="shared" si="1"/>
        <v>C166</v>
      </c>
      <c r="B166" s="15"/>
      <c r="C166" s="15"/>
      <c r="D166" s="15"/>
      <c r="E166" s="15"/>
      <c r="F166" s="15"/>
      <c r="G166" s="15" t="str">
        <f>IFERROR(MAX(FILTRAR(Vendas!A:A,Vendas!B:B=B166)),"")</f>
        <v/>
      </c>
      <c r="H166" s="15" t="str">
        <f>IF(B166="","",SUMIF(Vendas!B:B,B166,Vendas!G:G))</f>
        <v/>
      </c>
      <c r="I166" s="15" t="str">
        <f>IF(B166="","",COUNTIF(Vendas!B:B,B166))</f>
        <v/>
      </c>
      <c r="J166" s="15">
        <f t="shared" si="2"/>
        <v>0</v>
      </c>
      <c r="K166" s="15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5" t="str">
        <f t="shared" si="1"/>
        <v>C167</v>
      </c>
      <c r="B167" s="15"/>
      <c r="C167" s="15"/>
      <c r="D167" s="15"/>
      <c r="E167" s="15"/>
      <c r="F167" s="15"/>
      <c r="G167" s="15" t="str">
        <f>IFERROR(MAX(FILTRAR(Vendas!A:A,Vendas!B:B=B167)),"")</f>
        <v/>
      </c>
      <c r="H167" s="15" t="str">
        <f>IF(B167="","",SUMIF(Vendas!B:B,B167,Vendas!G:G))</f>
        <v/>
      </c>
      <c r="I167" s="15" t="str">
        <f>IF(B167="","",COUNTIF(Vendas!B:B,B167))</f>
        <v/>
      </c>
      <c r="J167" s="15">
        <f t="shared" si="2"/>
        <v>0</v>
      </c>
      <c r="K167" s="15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5" t="str">
        <f t="shared" si="1"/>
        <v>C168</v>
      </c>
      <c r="B168" s="15"/>
      <c r="C168" s="15"/>
      <c r="D168" s="15"/>
      <c r="E168" s="15"/>
      <c r="F168" s="15"/>
      <c r="G168" s="15" t="str">
        <f>IFERROR(MAX(FILTRAR(Vendas!A:A,Vendas!B:B=B168)),"")</f>
        <v/>
      </c>
      <c r="H168" s="15" t="str">
        <f>IF(B168="","",SUMIF(Vendas!B:B,B168,Vendas!G:G))</f>
        <v/>
      </c>
      <c r="I168" s="15" t="str">
        <f>IF(B168="","",COUNTIF(Vendas!B:B,B168))</f>
        <v/>
      </c>
      <c r="J168" s="15">
        <f t="shared" si="2"/>
        <v>0</v>
      </c>
      <c r="K168" s="15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5" t="str">
        <f t="shared" si="1"/>
        <v>C169</v>
      </c>
      <c r="B169" s="15"/>
      <c r="C169" s="15"/>
      <c r="D169" s="15"/>
      <c r="E169" s="15"/>
      <c r="F169" s="15"/>
      <c r="G169" s="15" t="str">
        <f>IFERROR(MAX(FILTRAR(Vendas!A:A,Vendas!B:B=B169)),"")</f>
        <v/>
      </c>
      <c r="H169" s="15" t="str">
        <f>IF(B169="","",SUMIF(Vendas!B:B,B169,Vendas!G:G))</f>
        <v/>
      </c>
      <c r="I169" s="15" t="str">
        <f>IF(B169="","",COUNTIF(Vendas!B:B,B169))</f>
        <v/>
      </c>
      <c r="J169" s="15">
        <f t="shared" si="2"/>
        <v>0</v>
      </c>
      <c r="K169" s="15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5" t="str">
        <f t="shared" si="1"/>
        <v>C170</v>
      </c>
      <c r="B170" s="15"/>
      <c r="C170" s="15"/>
      <c r="D170" s="15"/>
      <c r="E170" s="15"/>
      <c r="F170" s="15"/>
      <c r="G170" s="15" t="str">
        <f>IFERROR(MAX(FILTRAR(Vendas!A:A,Vendas!B:B=B170)),"")</f>
        <v/>
      </c>
      <c r="H170" s="15" t="str">
        <f>IF(B170="","",SUMIF(Vendas!B:B,B170,Vendas!G:G))</f>
        <v/>
      </c>
      <c r="I170" s="15" t="str">
        <f>IF(B170="","",COUNTIF(Vendas!B:B,B170))</f>
        <v/>
      </c>
      <c r="J170" s="15">
        <f t="shared" si="2"/>
        <v>0</v>
      </c>
      <c r="K170" s="15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5" t="str">
        <f t="shared" si="1"/>
        <v>C171</v>
      </c>
      <c r="B171" s="15"/>
      <c r="C171" s="15"/>
      <c r="D171" s="15"/>
      <c r="E171" s="15"/>
      <c r="F171" s="15"/>
      <c r="G171" s="15" t="str">
        <f>IFERROR(MAX(FILTRAR(Vendas!A:A,Vendas!B:B=B171)),"")</f>
        <v/>
      </c>
      <c r="H171" s="15" t="str">
        <f>IF(B171="","",SUMIF(Vendas!B:B,B171,Vendas!G:G))</f>
        <v/>
      </c>
      <c r="I171" s="15" t="str">
        <f>IF(B171="","",COUNTIF(Vendas!B:B,B171))</f>
        <v/>
      </c>
      <c r="J171" s="15">
        <f t="shared" si="2"/>
        <v>0</v>
      </c>
      <c r="K171" s="15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5" t="str">
        <f t="shared" si="1"/>
        <v>C172</v>
      </c>
      <c r="B172" s="15"/>
      <c r="C172" s="15"/>
      <c r="D172" s="15"/>
      <c r="E172" s="15"/>
      <c r="F172" s="15"/>
      <c r="G172" s="15" t="str">
        <f>IFERROR(MAX(FILTRAR(Vendas!A:A,Vendas!B:B=B172)),"")</f>
        <v/>
      </c>
      <c r="H172" s="15" t="str">
        <f>IF(B172="","",SUMIF(Vendas!B:B,B172,Vendas!G:G))</f>
        <v/>
      </c>
      <c r="I172" s="15" t="str">
        <f>IF(B172="","",COUNTIF(Vendas!B:B,B172))</f>
        <v/>
      </c>
      <c r="J172" s="15">
        <f t="shared" si="2"/>
        <v>0</v>
      </c>
      <c r="K172" s="15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5" t="str">
        <f t="shared" si="1"/>
        <v>C173</v>
      </c>
      <c r="B173" s="15"/>
      <c r="C173" s="15"/>
      <c r="D173" s="15"/>
      <c r="E173" s="15"/>
      <c r="F173" s="15"/>
      <c r="G173" s="15" t="str">
        <f>IFERROR(MAX(FILTRAR(Vendas!A:A,Vendas!B:B=B173)),"")</f>
        <v/>
      </c>
      <c r="H173" s="15" t="str">
        <f>IF(B173="","",SUMIF(Vendas!B:B,B173,Vendas!G:G))</f>
        <v/>
      </c>
      <c r="I173" s="15" t="str">
        <f>IF(B173="","",COUNTIF(Vendas!B:B,B173))</f>
        <v/>
      </c>
      <c r="J173" s="15">
        <f t="shared" si="2"/>
        <v>0</v>
      </c>
      <c r="K173" s="15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5" t="str">
        <f t="shared" si="1"/>
        <v>C174</v>
      </c>
      <c r="B174" s="15"/>
      <c r="C174" s="15"/>
      <c r="D174" s="15"/>
      <c r="E174" s="15"/>
      <c r="F174" s="15"/>
      <c r="G174" s="15" t="str">
        <f>IFERROR(MAX(FILTRAR(Vendas!A:A,Vendas!B:B=B174)),"")</f>
        <v/>
      </c>
      <c r="H174" s="15" t="str">
        <f>IF(B174="","",SUMIF(Vendas!B:B,B174,Vendas!G:G))</f>
        <v/>
      </c>
      <c r="I174" s="15" t="str">
        <f>IF(B174="","",COUNTIF(Vendas!B:B,B174))</f>
        <v/>
      </c>
      <c r="J174" s="15">
        <f t="shared" si="2"/>
        <v>0</v>
      </c>
      <c r="K174" s="15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5" t="str">
        <f t="shared" si="1"/>
        <v>C175</v>
      </c>
      <c r="B175" s="15"/>
      <c r="C175" s="15"/>
      <c r="D175" s="15"/>
      <c r="E175" s="15"/>
      <c r="F175" s="15"/>
      <c r="G175" s="15" t="str">
        <f>IFERROR(MAX(FILTRAR(Vendas!A:A,Vendas!B:B=B175)),"")</f>
        <v/>
      </c>
      <c r="H175" s="15" t="str">
        <f>IF(B175="","",SUMIF(Vendas!B:B,B175,Vendas!G:G))</f>
        <v/>
      </c>
      <c r="I175" s="15" t="str">
        <f>IF(B175="","",COUNTIF(Vendas!B:B,B175))</f>
        <v/>
      </c>
      <c r="J175" s="15">
        <f t="shared" si="2"/>
        <v>0</v>
      </c>
      <c r="K175" s="15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5" t="str">
        <f t="shared" si="1"/>
        <v>C176</v>
      </c>
      <c r="B176" s="15"/>
      <c r="C176" s="15"/>
      <c r="D176" s="15"/>
      <c r="E176" s="15"/>
      <c r="F176" s="15"/>
      <c r="G176" s="15" t="str">
        <f>IFERROR(MAX(FILTRAR(Vendas!A:A,Vendas!B:B=B176)),"")</f>
        <v/>
      </c>
      <c r="H176" s="15" t="str">
        <f>IF(B176="","",SUMIF(Vendas!B:B,B176,Vendas!G:G))</f>
        <v/>
      </c>
      <c r="I176" s="15" t="str">
        <f>IF(B176="","",COUNTIF(Vendas!B:B,B176))</f>
        <v/>
      </c>
      <c r="J176" s="15">
        <f t="shared" si="2"/>
        <v>0</v>
      </c>
      <c r="K176" s="15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5" t="str">
        <f t="shared" si="1"/>
        <v>C177</v>
      </c>
      <c r="B177" s="15"/>
      <c r="C177" s="15"/>
      <c r="D177" s="15"/>
      <c r="E177" s="15"/>
      <c r="F177" s="15"/>
      <c r="G177" s="15" t="str">
        <f>IFERROR(MAX(FILTRAR(Vendas!A:A,Vendas!B:B=B177)),"")</f>
        <v/>
      </c>
      <c r="H177" s="15" t="str">
        <f>IF(B177="","",SUMIF(Vendas!B:B,B177,Vendas!G:G))</f>
        <v/>
      </c>
      <c r="I177" s="15" t="str">
        <f>IF(B177="","",COUNTIF(Vendas!B:B,B177))</f>
        <v/>
      </c>
      <c r="J177" s="15">
        <f t="shared" si="2"/>
        <v>0</v>
      </c>
      <c r="K177" s="15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5" t="str">
        <f t="shared" si="1"/>
        <v>C178</v>
      </c>
      <c r="B178" s="15"/>
      <c r="C178" s="15"/>
      <c r="D178" s="15"/>
      <c r="E178" s="15"/>
      <c r="F178" s="15"/>
      <c r="G178" s="15" t="str">
        <f>IFERROR(MAX(FILTRAR(Vendas!A:A,Vendas!B:B=B178)),"")</f>
        <v/>
      </c>
      <c r="H178" s="15" t="str">
        <f>IF(B178="","",SUMIF(Vendas!B:B,B178,Vendas!G:G))</f>
        <v/>
      </c>
      <c r="I178" s="15" t="str">
        <f>IF(B178="","",COUNTIF(Vendas!B:B,B178))</f>
        <v/>
      </c>
      <c r="J178" s="15">
        <f t="shared" si="2"/>
        <v>0</v>
      </c>
      <c r="K178" s="15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5" t="str">
        <f t="shared" si="1"/>
        <v>C179</v>
      </c>
      <c r="B179" s="15"/>
      <c r="C179" s="15"/>
      <c r="D179" s="15"/>
      <c r="E179" s="15"/>
      <c r="F179" s="15"/>
      <c r="G179" s="15" t="str">
        <f>IFERROR(MAX(FILTRAR(Vendas!A:A,Vendas!B:B=B179)),"")</f>
        <v/>
      </c>
      <c r="H179" s="15" t="str">
        <f>IF(B179="","",SUMIF(Vendas!B:B,B179,Vendas!G:G))</f>
        <v/>
      </c>
      <c r="I179" s="15" t="str">
        <f>IF(B179="","",COUNTIF(Vendas!B:B,B179))</f>
        <v/>
      </c>
      <c r="J179" s="15">
        <f t="shared" si="2"/>
        <v>0</v>
      </c>
      <c r="K179" s="15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5" t="str">
        <f t="shared" si="1"/>
        <v>C180</v>
      </c>
      <c r="B180" s="15"/>
      <c r="C180" s="15"/>
      <c r="D180" s="15"/>
      <c r="E180" s="15"/>
      <c r="F180" s="15"/>
      <c r="G180" s="15" t="str">
        <f>IFERROR(MAX(FILTRAR(Vendas!A:A,Vendas!B:B=B180)),"")</f>
        <v/>
      </c>
      <c r="H180" s="15" t="str">
        <f>IF(B180="","",SUMIF(Vendas!B:B,B180,Vendas!G:G))</f>
        <v/>
      </c>
      <c r="I180" s="15" t="str">
        <f>IF(B180="","",COUNTIF(Vendas!B:B,B180))</f>
        <v/>
      </c>
      <c r="J180" s="15">
        <f t="shared" si="2"/>
        <v>0</v>
      </c>
      <c r="K180" s="15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5" t="str">
        <f t="shared" si="1"/>
        <v>C181</v>
      </c>
      <c r="B181" s="15"/>
      <c r="C181" s="15"/>
      <c r="D181" s="15"/>
      <c r="E181" s="15"/>
      <c r="F181" s="15"/>
      <c r="G181" s="15" t="str">
        <f>IFERROR(MAX(FILTRAR(Vendas!A:A,Vendas!B:B=B181)),"")</f>
        <v/>
      </c>
      <c r="H181" s="15" t="str">
        <f>IF(B181="","",SUMIF(Vendas!B:B,B181,Vendas!G:G))</f>
        <v/>
      </c>
      <c r="I181" s="15" t="str">
        <f>IF(B181="","",COUNTIF(Vendas!B:B,B181))</f>
        <v/>
      </c>
      <c r="J181" s="15">
        <f t="shared" si="2"/>
        <v>0</v>
      </c>
      <c r="K181" s="15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5" t="str">
        <f t="shared" si="1"/>
        <v>C182</v>
      </c>
      <c r="B182" s="15"/>
      <c r="C182" s="15"/>
      <c r="D182" s="15"/>
      <c r="E182" s="15"/>
      <c r="F182" s="15"/>
      <c r="G182" s="15" t="str">
        <f>IFERROR(MAX(FILTRAR(Vendas!A:A,Vendas!B:B=B182)),"")</f>
        <v/>
      </c>
      <c r="H182" s="15" t="str">
        <f>IF(B182="","",SUMIF(Vendas!B:B,B182,Vendas!G:G))</f>
        <v/>
      </c>
      <c r="I182" s="15" t="str">
        <f>IF(B182="","",COUNTIF(Vendas!B:B,B182))</f>
        <v/>
      </c>
      <c r="J182" s="15">
        <f t="shared" si="2"/>
        <v>0</v>
      </c>
      <c r="K182" s="15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5" t="str">
        <f t="shared" si="1"/>
        <v>C183</v>
      </c>
      <c r="B183" s="15"/>
      <c r="C183" s="15"/>
      <c r="D183" s="15"/>
      <c r="E183" s="15"/>
      <c r="F183" s="15"/>
      <c r="G183" s="15" t="str">
        <f>IFERROR(MAX(FILTRAR(Vendas!A:A,Vendas!B:B=B183)),"")</f>
        <v/>
      </c>
      <c r="H183" s="15" t="str">
        <f>IF(B183="","",SUMIF(Vendas!B:B,B183,Vendas!G:G))</f>
        <v/>
      </c>
      <c r="I183" s="15" t="str">
        <f>IF(B183="","",COUNTIF(Vendas!B:B,B183))</f>
        <v/>
      </c>
      <c r="J183" s="15">
        <f t="shared" si="2"/>
        <v>0</v>
      </c>
      <c r="K183" s="15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5" t="str">
        <f t="shared" si="1"/>
        <v>C184</v>
      </c>
      <c r="B184" s="15"/>
      <c r="C184" s="15"/>
      <c r="D184" s="15"/>
      <c r="E184" s="15"/>
      <c r="F184" s="15"/>
      <c r="G184" s="15" t="str">
        <f>IFERROR(MAX(FILTRAR(Vendas!A:A,Vendas!B:B=B184)),"")</f>
        <v/>
      </c>
      <c r="H184" s="15" t="str">
        <f>IF(B184="","",SUMIF(Vendas!B:B,B184,Vendas!G:G))</f>
        <v/>
      </c>
      <c r="I184" s="15" t="str">
        <f>IF(B184="","",COUNTIF(Vendas!B:B,B184))</f>
        <v/>
      </c>
      <c r="J184" s="15">
        <f t="shared" si="2"/>
        <v>0</v>
      </c>
      <c r="K184" s="15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5" t="str">
        <f t="shared" si="1"/>
        <v>C185</v>
      </c>
      <c r="B185" s="15"/>
      <c r="C185" s="15"/>
      <c r="D185" s="15"/>
      <c r="E185" s="15"/>
      <c r="F185" s="15"/>
      <c r="G185" s="15" t="str">
        <f>IFERROR(MAX(FILTRAR(Vendas!A:A,Vendas!B:B=B185)),"")</f>
        <v/>
      </c>
      <c r="H185" s="15" t="str">
        <f>IF(B185="","",SUMIF(Vendas!B:B,B185,Vendas!G:G))</f>
        <v/>
      </c>
      <c r="I185" s="15" t="str">
        <f>IF(B185="","",COUNTIF(Vendas!B:B,B185))</f>
        <v/>
      </c>
      <c r="J185" s="15">
        <f t="shared" si="2"/>
        <v>0</v>
      </c>
      <c r="K185" s="15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5" t="str">
        <f t="shared" si="1"/>
        <v>C186</v>
      </c>
      <c r="B186" s="15"/>
      <c r="C186" s="15"/>
      <c r="D186" s="15"/>
      <c r="E186" s="15"/>
      <c r="F186" s="15"/>
      <c r="G186" s="15" t="str">
        <f>IFERROR(MAX(FILTRAR(Vendas!A:A,Vendas!B:B=B186)),"")</f>
        <v/>
      </c>
      <c r="H186" s="15" t="str">
        <f>IF(B186="","",SUMIF(Vendas!B:B,B186,Vendas!G:G))</f>
        <v/>
      </c>
      <c r="I186" s="15" t="str">
        <f>IF(B186="","",COUNTIF(Vendas!B:B,B186))</f>
        <v/>
      </c>
      <c r="J186" s="15">
        <f t="shared" si="2"/>
        <v>0</v>
      </c>
      <c r="K186" s="15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5" t="str">
        <f t="shared" si="1"/>
        <v>C187</v>
      </c>
      <c r="B187" s="15"/>
      <c r="C187" s="15"/>
      <c r="D187" s="15"/>
      <c r="E187" s="15"/>
      <c r="F187" s="15"/>
      <c r="G187" s="15" t="str">
        <f>IFERROR(MAX(FILTRAR(Vendas!A:A,Vendas!B:B=B187)),"")</f>
        <v/>
      </c>
      <c r="H187" s="15" t="str">
        <f>IF(B187="","",SUMIF(Vendas!B:B,B187,Vendas!G:G))</f>
        <v/>
      </c>
      <c r="I187" s="15" t="str">
        <f>IF(B187="","",COUNTIF(Vendas!B:B,B187))</f>
        <v/>
      </c>
      <c r="J187" s="15">
        <f t="shared" si="2"/>
        <v>0</v>
      </c>
      <c r="K187" s="15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5" t="str">
        <f t="shared" si="1"/>
        <v>C188</v>
      </c>
      <c r="B188" s="15"/>
      <c r="C188" s="15"/>
      <c r="D188" s="15"/>
      <c r="E188" s="15"/>
      <c r="F188" s="15"/>
      <c r="G188" s="15" t="str">
        <f>IFERROR(MAX(FILTRAR(Vendas!A:A,Vendas!B:B=B188)),"")</f>
        <v/>
      </c>
      <c r="H188" s="15" t="str">
        <f>IF(B188="","",SUMIF(Vendas!B:B,B188,Vendas!G:G))</f>
        <v/>
      </c>
      <c r="I188" s="15" t="str">
        <f>IF(B188="","",COUNTIF(Vendas!B:B,B188))</f>
        <v/>
      </c>
      <c r="J188" s="15">
        <f t="shared" si="2"/>
        <v>0</v>
      </c>
      <c r="K188" s="15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5" t="str">
        <f t="shared" si="1"/>
        <v>C189</v>
      </c>
      <c r="B189" s="15"/>
      <c r="C189" s="15"/>
      <c r="D189" s="15"/>
      <c r="E189" s="15"/>
      <c r="F189" s="15"/>
      <c r="G189" s="15" t="str">
        <f>IFERROR(MAX(FILTRAR(Vendas!A:A,Vendas!B:B=B189)),"")</f>
        <v/>
      </c>
      <c r="H189" s="15" t="str">
        <f>IF(B189="","",SUMIF(Vendas!B:B,B189,Vendas!G:G))</f>
        <v/>
      </c>
      <c r="I189" s="15" t="str">
        <f>IF(B189="","",COUNTIF(Vendas!B:B,B189))</f>
        <v/>
      </c>
      <c r="J189" s="15">
        <f t="shared" si="2"/>
        <v>0</v>
      </c>
      <c r="K189" s="15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5" t="str">
        <f t="shared" si="1"/>
        <v>C190</v>
      </c>
      <c r="B190" s="15"/>
      <c r="C190" s="15"/>
      <c r="D190" s="15"/>
      <c r="E190" s="15"/>
      <c r="F190" s="15"/>
      <c r="G190" s="15" t="str">
        <f>IFERROR(MAX(FILTRAR(Vendas!A:A,Vendas!B:B=B190)),"")</f>
        <v/>
      </c>
      <c r="H190" s="15" t="str">
        <f>IF(B190="","",SUMIF(Vendas!B:B,B190,Vendas!G:G))</f>
        <v/>
      </c>
      <c r="I190" s="15" t="str">
        <f>IF(B190="","",COUNTIF(Vendas!B:B,B190))</f>
        <v/>
      </c>
      <c r="J190" s="15">
        <f t="shared" si="2"/>
        <v>0</v>
      </c>
      <c r="K190" s="15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5" t="str">
        <f t="shared" si="1"/>
        <v>C191</v>
      </c>
      <c r="B191" s="15"/>
      <c r="C191" s="15"/>
      <c r="D191" s="15"/>
      <c r="E191" s="15"/>
      <c r="F191" s="15"/>
      <c r="G191" s="15" t="str">
        <f>IFERROR(MAX(FILTRAR(Vendas!A:A,Vendas!B:B=B191)),"")</f>
        <v/>
      </c>
      <c r="H191" s="15" t="str">
        <f>IF(B191="","",SUMIF(Vendas!B:B,B191,Vendas!G:G))</f>
        <v/>
      </c>
      <c r="I191" s="15" t="str">
        <f>IF(B191="","",COUNTIF(Vendas!B:B,B191))</f>
        <v/>
      </c>
      <c r="J191" s="15">
        <f t="shared" si="2"/>
        <v>0</v>
      </c>
      <c r="K191" s="15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5" t="str">
        <f t="shared" si="1"/>
        <v>C192</v>
      </c>
      <c r="B192" s="15"/>
      <c r="C192" s="15"/>
      <c r="D192" s="15"/>
      <c r="E192" s="15"/>
      <c r="F192" s="15"/>
      <c r="G192" s="15" t="str">
        <f>IFERROR(MAX(FILTRAR(Vendas!A:A,Vendas!B:B=B192)),"")</f>
        <v/>
      </c>
      <c r="H192" s="15" t="str">
        <f>IF(B192="","",SUMIF(Vendas!B:B,B192,Vendas!G:G))</f>
        <v/>
      </c>
      <c r="I192" s="15" t="str">
        <f>IF(B192="","",COUNTIF(Vendas!B:B,B192))</f>
        <v/>
      </c>
      <c r="J192" s="15">
        <f t="shared" si="2"/>
        <v>0</v>
      </c>
      <c r="K192" s="15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5" t="str">
        <f t="shared" si="1"/>
        <v>C193</v>
      </c>
      <c r="B193" s="15"/>
      <c r="C193" s="15"/>
      <c r="D193" s="15"/>
      <c r="E193" s="15"/>
      <c r="F193" s="15"/>
      <c r="G193" s="15" t="str">
        <f>IFERROR(MAX(FILTRAR(Vendas!A:A,Vendas!B:B=B193)),"")</f>
        <v/>
      </c>
      <c r="H193" s="15" t="str">
        <f>IF(B193="","",SUMIF(Vendas!B:B,B193,Vendas!G:G))</f>
        <v/>
      </c>
      <c r="I193" s="15" t="str">
        <f>IF(B193="","",COUNTIF(Vendas!B:B,B193))</f>
        <v/>
      </c>
      <c r="J193" s="15">
        <f t="shared" si="2"/>
        <v>0</v>
      </c>
      <c r="K193" s="15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5" t="str">
        <f t="shared" si="1"/>
        <v>C194</v>
      </c>
      <c r="B194" s="15"/>
      <c r="C194" s="15"/>
      <c r="D194" s="15"/>
      <c r="E194" s="15"/>
      <c r="F194" s="15"/>
      <c r="G194" s="15" t="str">
        <f>IFERROR(MAX(FILTRAR(Vendas!A:A,Vendas!B:B=B194)),"")</f>
        <v/>
      </c>
      <c r="H194" s="15" t="str">
        <f>IF(B194="","",SUMIF(Vendas!B:B,B194,Vendas!G:G))</f>
        <v/>
      </c>
      <c r="I194" s="15" t="str">
        <f>IF(B194="","",COUNTIF(Vendas!B:B,B194))</f>
        <v/>
      </c>
      <c r="J194" s="15">
        <f t="shared" si="2"/>
        <v>0</v>
      </c>
      <c r="K194" s="15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5" t="str">
        <f t="shared" si="1"/>
        <v>C195</v>
      </c>
      <c r="B195" s="15"/>
      <c r="C195" s="15"/>
      <c r="D195" s="15"/>
      <c r="E195" s="15"/>
      <c r="F195" s="15"/>
      <c r="G195" s="15" t="str">
        <f>IFERROR(MAX(FILTRAR(Vendas!A:A,Vendas!B:B=B195)),"")</f>
        <v/>
      </c>
      <c r="H195" s="15" t="str">
        <f>IF(B195="","",SUMIF(Vendas!B:B,B195,Vendas!G:G))</f>
        <v/>
      </c>
      <c r="I195" s="15" t="str">
        <f>IF(B195="","",COUNTIF(Vendas!B:B,B195))</f>
        <v/>
      </c>
      <c r="J195" s="15">
        <f t="shared" si="2"/>
        <v>0</v>
      </c>
      <c r="K195" s="15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5" t="str">
        <f t="shared" si="1"/>
        <v>C196</v>
      </c>
      <c r="B196" s="15"/>
      <c r="C196" s="15"/>
      <c r="D196" s="15"/>
      <c r="E196" s="15"/>
      <c r="F196" s="15"/>
      <c r="G196" s="15" t="str">
        <f>IFERROR(MAX(FILTRAR(Vendas!A:A,Vendas!B:B=B196)),"")</f>
        <v/>
      </c>
      <c r="H196" s="15" t="str">
        <f>IF(B196="","",SUMIF(Vendas!B:B,B196,Vendas!G:G))</f>
        <v/>
      </c>
      <c r="I196" s="15" t="str">
        <f>IF(B196="","",COUNTIF(Vendas!B:B,B196))</f>
        <v/>
      </c>
      <c r="J196" s="15">
        <f t="shared" si="2"/>
        <v>0</v>
      </c>
      <c r="K196" s="15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5" t="str">
        <f t="shared" si="1"/>
        <v>C197</v>
      </c>
      <c r="B197" s="15"/>
      <c r="C197" s="15"/>
      <c r="D197" s="15"/>
      <c r="E197" s="15"/>
      <c r="F197" s="15"/>
      <c r="G197" s="15" t="str">
        <f>IFERROR(MAX(FILTRAR(Vendas!A:A,Vendas!B:B=B197)),"")</f>
        <v/>
      </c>
      <c r="H197" s="15" t="str">
        <f>IF(B197="","",SUMIF(Vendas!B:B,B197,Vendas!G:G))</f>
        <v/>
      </c>
      <c r="I197" s="15" t="str">
        <f>IF(B197="","",COUNTIF(Vendas!B:B,B197))</f>
        <v/>
      </c>
      <c r="J197" s="15">
        <f t="shared" si="2"/>
        <v>0</v>
      </c>
      <c r="K197" s="15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5" t="str">
        <f t="shared" si="1"/>
        <v>C198</v>
      </c>
      <c r="B198" s="15"/>
      <c r="C198" s="15"/>
      <c r="D198" s="15"/>
      <c r="E198" s="15"/>
      <c r="F198" s="15"/>
      <c r="G198" s="15" t="str">
        <f>IFERROR(MAX(FILTRAR(Vendas!A:A,Vendas!B:B=B198)),"")</f>
        <v/>
      </c>
      <c r="H198" s="15" t="str">
        <f>IF(B198="","",SUMIF(Vendas!B:B,B198,Vendas!G:G))</f>
        <v/>
      </c>
      <c r="I198" s="15" t="str">
        <f>IF(B198="","",COUNTIF(Vendas!B:B,B198))</f>
        <v/>
      </c>
      <c r="J198" s="15">
        <f t="shared" si="2"/>
        <v>0</v>
      </c>
      <c r="K198" s="15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5" t="str">
        <f t="shared" si="1"/>
        <v>C199</v>
      </c>
      <c r="B199" s="15"/>
      <c r="C199" s="15"/>
      <c r="D199" s="15"/>
      <c r="E199" s="15"/>
      <c r="F199" s="15"/>
      <c r="G199" s="15" t="str">
        <f>IFERROR(MAX(FILTRAR(Vendas!A:A,Vendas!B:B=B199)),"")</f>
        <v/>
      </c>
      <c r="H199" s="15" t="str">
        <f>IF(B199="","",SUMIF(Vendas!B:B,B199,Vendas!G:G))</f>
        <v/>
      </c>
      <c r="I199" s="15" t="str">
        <f>IF(B199="","",COUNTIF(Vendas!B:B,B199))</f>
        <v/>
      </c>
      <c r="J199" s="15">
        <f t="shared" si="2"/>
        <v>0</v>
      </c>
      <c r="K199" s="15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5" t="str">
        <f t="shared" si="1"/>
        <v>C200</v>
      </c>
      <c r="B200" s="15"/>
      <c r="C200" s="15"/>
      <c r="D200" s="15"/>
      <c r="E200" s="15"/>
      <c r="F200" s="15"/>
      <c r="G200" s="15" t="str">
        <f>IFERROR(MAX(FILTRAR(Vendas!A:A,Vendas!B:B=B200)),"")</f>
        <v/>
      </c>
      <c r="H200" s="15" t="str">
        <f>IF(B200="","",SUMIF(Vendas!B:B,B200,Vendas!G:G))</f>
        <v/>
      </c>
      <c r="I200" s="15" t="str">
        <f>IF(B200="","",COUNTIF(Vendas!B:B,B200))</f>
        <v/>
      </c>
      <c r="J200" s="15">
        <f t="shared" si="2"/>
        <v>0</v>
      </c>
      <c r="K200" s="15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5" t="str">
        <f t="shared" si="1"/>
        <v>C201</v>
      </c>
      <c r="B201" s="15"/>
      <c r="C201" s="15"/>
      <c r="D201" s="15"/>
      <c r="E201" s="15"/>
      <c r="F201" s="15"/>
      <c r="G201" s="15" t="str">
        <f>IFERROR(MAX(FILTRAR(Vendas!A:A,Vendas!B:B=B201)),"")</f>
        <v/>
      </c>
      <c r="H201" s="15" t="str">
        <f>IF(B201="","",SUMIF(Vendas!B:B,B201,Vendas!G:G))</f>
        <v/>
      </c>
      <c r="I201" s="15" t="str">
        <f>IF(B201="","",COUNTIF(Vendas!B:B,B201))</f>
        <v/>
      </c>
      <c r="J201" s="15">
        <f t="shared" si="2"/>
        <v>0</v>
      </c>
      <c r="K201" s="15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5" t="str">
        <f t="shared" si="1"/>
        <v>C202</v>
      </c>
      <c r="B202" s="15"/>
      <c r="C202" s="15"/>
      <c r="D202" s="15"/>
      <c r="E202" s="15"/>
      <c r="F202" s="15"/>
      <c r="G202" s="15" t="str">
        <f>IFERROR(MAX(FILTRAR(Vendas!A:A,Vendas!B:B=B202)),"")</f>
        <v/>
      </c>
      <c r="H202" s="15" t="str">
        <f>IF(B202="","",SUMIF(Vendas!B:B,B202,Vendas!G:G))</f>
        <v/>
      </c>
      <c r="I202" s="15" t="str">
        <f>IF(B202="","",COUNTIF(Vendas!B:B,B202))</f>
        <v/>
      </c>
      <c r="J202" s="15">
        <f t="shared" si="2"/>
        <v>0</v>
      </c>
      <c r="K202" s="15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5" t="str">
        <f t="shared" si="1"/>
        <v>C203</v>
      </c>
      <c r="B203" s="15"/>
      <c r="C203" s="15"/>
      <c r="D203" s="15"/>
      <c r="E203" s="15"/>
      <c r="F203" s="15"/>
      <c r="G203" s="15" t="str">
        <f>IFERROR(MAX(FILTRAR(Vendas!A:A,Vendas!B:B=B203)),"")</f>
        <v/>
      </c>
      <c r="H203" s="15" t="str">
        <f>IF(B203="","",SUMIF(Vendas!B:B,B203,Vendas!G:G))</f>
        <v/>
      </c>
      <c r="I203" s="15" t="str">
        <f>IF(B203="","",COUNTIF(Vendas!B:B,B203))</f>
        <v/>
      </c>
      <c r="J203" s="15">
        <f t="shared" si="2"/>
        <v>0</v>
      </c>
      <c r="K203" s="15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5" t="str">
        <f t="shared" si="1"/>
        <v>C204</v>
      </c>
      <c r="B204" s="15"/>
      <c r="C204" s="15"/>
      <c r="D204" s="15"/>
      <c r="E204" s="15"/>
      <c r="F204" s="15"/>
      <c r="G204" s="15" t="str">
        <f>IFERROR(MAX(FILTRAR(Vendas!A:A,Vendas!B:B=B204)),"")</f>
        <v/>
      </c>
      <c r="H204" s="15" t="str">
        <f>IF(B204="","",SUMIF(Vendas!B:B,B204,Vendas!G:G))</f>
        <v/>
      </c>
      <c r="I204" s="15" t="str">
        <f>IF(B204="","",COUNTIF(Vendas!B:B,B204))</f>
        <v/>
      </c>
      <c r="J204" s="15">
        <f t="shared" si="2"/>
        <v>0</v>
      </c>
      <c r="K204" s="15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5" t="str">
        <f t="shared" si="1"/>
        <v>C205</v>
      </c>
      <c r="B205" s="15"/>
      <c r="C205" s="15"/>
      <c r="D205" s="15"/>
      <c r="E205" s="15"/>
      <c r="F205" s="15"/>
      <c r="G205" s="15" t="str">
        <f>IFERROR(MAX(FILTRAR(Vendas!A:A,Vendas!B:B=B205)),"")</f>
        <v/>
      </c>
      <c r="H205" s="15" t="str">
        <f>IF(B205="","",SUMIF(Vendas!B:B,B205,Vendas!G:G))</f>
        <v/>
      </c>
      <c r="I205" s="15" t="str">
        <f>IF(B205="","",COUNTIF(Vendas!B:B,B205))</f>
        <v/>
      </c>
      <c r="J205" s="15">
        <f t="shared" si="2"/>
        <v>0</v>
      </c>
      <c r="K205" s="15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5" t="str">
        <f t="shared" si="1"/>
        <v>C206</v>
      </c>
      <c r="B206" s="15"/>
      <c r="C206" s="15"/>
      <c r="D206" s="15"/>
      <c r="E206" s="15"/>
      <c r="F206" s="15"/>
      <c r="G206" s="15" t="str">
        <f>IFERROR(MAX(FILTRAR(Vendas!A:A,Vendas!B:B=B206)),"")</f>
        <v/>
      </c>
      <c r="H206" s="15" t="str">
        <f>IF(B206="","",SUMIF(Vendas!B:B,B206,Vendas!G:G))</f>
        <v/>
      </c>
      <c r="I206" s="15" t="str">
        <f>IF(B206="","",COUNTIF(Vendas!B:B,B206))</f>
        <v/>
      </c>
      <c r="J206" s="15">
        <f t="shared" si="2"/>
        <v>0</v>
      </c>
      <c r="K206" s="15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5" t="str">
        <f t="shared" si="1"/>
        <v>C207</v>
      </c>
      <c r="B207" s="15"/>
      <c r="C207" s="15"/>
      <c r="D207" s="15"/>
      <c r="E207" s="15"/>
      <c r="F207" s="15"/>
      <c r="G207" s="15" t="str">
        <f>IFERROR(MAX(FILTRAR(Vendas!A:A,Vendas!B:B=B207)),"")</f>
        <v/>
      </c>
      <c r="H207" s="15" t="str">
        <f>IF(B207="","",SUMIF(Vendas!B:B,B207,Vendas!G:G))</f>
        <v/>
      </c>
      <c r="I207" s="15" t="str">
        <f>IF(B207="","",COUNTIF(Vendas!B:B,B207))</f>
        <v/>
      </c>
      <c r="J207" s="15">
        <f t="shared" si="2"/>
        <v>0</v>
      </c>
      <c r="K207" s="15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5" t="str">
        <f t="shared" si="1"/>
        <v>C208</v>
      </c>
      <c r="B208" s="15"/>
      <c r="C208" s="15"/>
      <c r="D208" s="15"/>
      <c r="E208" s="15"/>
      <c r="F208" s="15"/>
      <c r="G208" s="15" t="str">
        <f>IFERROR(MAX(FILTRAR(Vendas!A:A,Vendas!B:B=B208)),"")</f>
        <v/>
      </c>
      <c r="H208" s="15" t="str">
        <f>IF(B208="","",SUMIF(Vendas!B:B,B208,Vendas!G:G))</f>
        <v/>
      </c>
      <c r="I208" s="15" t="str">
        <f>IF(B208="","",COUNTIF(Vendas!B:B,B208))</f>
        <v/>
      </c>
      <c r="J208" s="15">
        <f t="shared" si="2"/>
        <v>0</v>
      </c>
      <c r="K208" s="15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5" t="str">
        <f t="shared" si="1"/>
        <v>C209</v>
      </c>
      <c r="B209" s="15"/>
      <c r="C209" s="15"/>
      <c r="D209" s="15"/>
      <c r="E209" s="15"/>
      <c r="F209" s="15"/>
      <c r="G209" s="15" t="str">
        <f>IFERROR(MAX(FILTRAR(Vendas!A:A,Vendas!B:B=B209)),"")</f>
        <v/>
      </c>
      <c r="H209" s="15" t="str">
        <f>IF(B209="","",SUMIF(Vendas!B:B,B209,Vendas!G:G))</f>
        <v/>
      </c>
      <c r="I209" s="15" t="str">
        <f>IF(B209="","",COUNTIF(Vendas!B:B,B209))</f>
        <v/>
      </c>
      <c r="J209" s="15">
        <f t="shared" si="2"/>
        <v>0</v>
      </c>
      <c r="K209" s="15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5" t="str">
        <f t="shared" si="1"/>
        <v>C210</v>
      </c>
      <c r="B210" s="15"/>
      <c r="C210" s="15"/>
      <c r="D210" s="15"/>
      <c r="E210" s="15"/>
      <c r="F210" s="15"/>
      <c r="G210" s="15" t="str">
        <f>IFERROR(MAX(FILTRAR(Vendas!A:A,Vendas!B:B=B210)),"")</f>
        <v/>
      </c>
      <c r="H210" s="15" t="str">
        <f>IF(B210="","",SUMIF(Vendas!B:B,B210,Vendas!G:G))</f>
        <v/>
      </c>
      <c r="I210" s="15" t="str">
        <f>IF(B210="","",COUNTIF(Vendas!B:B,B210))</f>
        <v/>
      </c>
      <c r="J210" s="15">
        <f t="shared" si="2"/>
        <v>0</v>
      </c>
      <c r="K210" s="15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5" t="str">
        <f t="shared" si="1"/>
        <v>C211</v>
      </c>
      <c r="B211" s="15"/>
      <c r="C211" s="15"/>
      <c r="D211" s="15"/>
      <c r="E211" s="15"/>
      <c r="F211" s="15"/>
      <c r="G211" s="15" t="str">
        <f>IFERROR(MAX(FILTRAR(Vendas!A:A,Vendas!B:B=B211)),"")</f>
        <v/>
      </c>
      <c r="H211" s="15" t="str">
        <f>IF(B211="","",SUMIF(Vendas!B:B,B211,Vendas!G:G))</f>
        <v/>
      </c>
      <c r="I211" s="15" t="str">
        <f>IF(B211="","",COUNTIF(Vendas!B:B,B211))</f>
        <v/>
      </c>
      <c r="J211" s="15">
        <f t="shared" si="2"/>
        <v>0</v>
      </c>
      <c r="K211" s="15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5" t="str">
        <f t="shared" si="1"/>
        <v>C212</v>
      </c>
      <c r="B212" s="15"/>
      <c r="C212" s="15"/>
      <c r="D212" s="15"/>
      <c r="E212" s="15"/>
      <c r="F212" s="15"/>
      <c r="G212" s="15" t="str">
        <f>IFERROR(MAX(FILTRAR(Vendas!A:A,Vendas!B:B=B212)),"")</f>
        <v/>
      </c>
      <c r="H212" s="15" t="str">
        <f>IF(B212="","",SUMIF(Vendas!B:B,B212,Vendas!G:G))</f>
        <v/>
      </c>
      <c r="I212" s="15" t="str">
        <f>IF(B212="","",COUNTIF(Vendas!B:B,B212))</f>
        <v/>
      </c>
      <c r="J212" s="15">
        <f t="shared" si="2"/>
        <v>0</v>
      </c>
      <c r="K212" s="15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5" t="str">
        <f t="shared" si="1"/>
        <v>C213</v>
      </c>
      <c r="B213" s="15"/>
      <c r="C213" s="15"/>
      <c r="D213" s="15"/>
      <c r="E213" s="15"/>
      <c r="F213" s="15"/>
      <c r="G213" s="15" t="str">
        <f>IFERROR(MAX(FILTRAR(Vendas!A:A,Vendas!B:B=B213)),"")</f>
        <v/>
      </c>
      <c r="H213" s="15" t="str">
        <f>IF(B213="","",SUMIF(Vendas!B:B,B213,Vendas!G:G))</f>
        <v/>
      </c>
      <c r="I213" s="15" t="str">
        <f>IF(B213="","",COUNTIF(Vendas!B:B,B213))</f>
        <v/>
      </c>
      <c r="J213" s="15">
        <f t="shared" si="2"/>
        <v>0</v>
      </c>
      <c r="K213" s="15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5" t="str">
        <f t="shared" si="1"/>
        <v>C214</v>
      </c>
      <c r="B214" s="15"/>
      <c r="C214" s="15"/>
      <c r="D214" s="15"/>
      <c r="E214" s="15"/>
      <c r="F214" s="15"/>
      <c r="G214" s="15" t="str">
        <f>IFERROR(MAX(FILTRAR(Vendas!A:A,Vendas!B:B=B214)),"")</f>
        <v/>
      </c>
      <c r="H214" s="15" t="str">
        <f>IF(B214="","",SUMIF(Vendas!B:B,B214,Vendas!G:G))</f>
        <v/>
      </c>
      <c r="I214" s="15" t="str">
        <f>IF(B214="","",COUNTIF(Vendas!B:B,B214))</f>
        <v/>
      </c>
      <c r="J214" s="15">
        <f t="shared" si="2"/>
        <v>0</v>
      </c>
      <c r="K214" s="15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5" t="str">
        <f t="shared" si="1"/>
        <v>C215</v>
      </c>
      <c r="B215" s="15"/>
      <c r="C215" s="15"/>
      <c r="D215" s="15"/>
      <c r="E215" s="15"/>
      <c r="F215" s="15"/>
      <c r="G215" s="15" t="str">
        <f>IFERROR(MAX(FILTRAR(Vendas!A:A,Vendas!B:B=B215)),"")</f>
        <v/>
      </c>
      <c r="H215" s="15" t="str">
        <f>IF(B215="","",SUMIF(Vendas!B:B,B215,Vendas!G:G))</f>
        <v/>
      </c>
      <c r="I215" s="15" t="str">
        <f>IF(B215="","",COUNTIF(Vendas!B:B,B215))</f>
        <v/>
      </c>
      <c r="J215" s="15">
        <f t="shared" si="2"/>
        <v>0</v>
      </c>
      <c r="K215" s="15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5" t="str">
        <f t="shared" si="1"/>
        <v>C216</v>
      </c>
      <c r="B216" s="15"/>
      <c r="C216" s="15"/>
      <c r="D216" s="15"/>
      <c r="E216" s="15"/>
      <c r="F216" s="15"/>
      <c r="G216" s="15" t="str">
        <f>IFERROR(MAX(FILTRAR(Vendas!A:A,Vendas!B:B=B216)),"")</f>
        <v/>
      </c>
      <c r="H216" s="15" t="str">
        <f>IF(B216="","",SUMIF(Vendas!B:B,B216,Vendas!G:G))</f>
        <v/>
      </c>
      <c r="I216" s="15" t="str">
        <f>IF(B216="","",COUNTIF(Vendas!B:B,B216))</f>
        <v/>
      </c>
      <c r="J216" s="15">
        <f t="shared" si="2"/>
        <v>0</v>
      </c>
      <c r="K216" s="15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5" t="str">
        <f t="shared" si="1"/>
        <v>C217</v>
      </c>
      <c r="B217" s="15"/>
      <c r="C217" s="15"/>
      <c r="D217" s="15"/>
      <c r="E217" s="15"/>
      <c r="F217" s="15"/>
      <c r="G217" s="15" t="str">
        <f>IFERROR(MAX(FILTRAR(Vendas!A:A,Vendas!B:B=B217)),"")</f>
        <v/>
      </c>
      <c r="H217" s="15" t="str">
        <f>IF(B217="","",SUMIF(Vendas!B:B,B217,Vendas!G:G))</f>
        <v/>
      </c>
      <c r="I217" s="15" t="str">
        <f>IF(B217="","",COUNTIF(Vendas!B:B,B217))</f>
        <v/>
      </c>
      <c r="J217" s="15">
        <f t="shared" si="2"/>
        <v>0</v>
      </c>
      <c r="K217" s="15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5" t="str">
        <f t="shared" si="1"/>
        <v>C218</v>
      </c>
      <c r="B218" s="15"/>
      <c r="C218" s="15"/>
      <c r="D218" s="15"/>
      <c r="E218" s="15"/>
      <c r="F218" s="15"/>
      <c r="G218" s="15" t="str">
        <f>IFERROR(MAX(FILTRAR(Vendas!A:A,Vendas!B:B=B218)),"")</f>
        <v/>
      </c>
      <c r="H218" s="15" t="str">
        <f>IF(B218="","",SUMIF(Vendas!B:B,B218,Vendas!G:G))</f>
        <v/>
      </c>
      <c r="I218" s="15" t="str">
        <f>IF(B218="","",COUNTIF(Vendas!B:B,B218))</f>
        <v/>
      </c>
      <c r="J218" s="15">
        <f t="shared" si="2"/>
        <v>0</v>
      </c>
      <c r="K218" s="15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5" t="str">
        <f t="shared" si="1"/>
        <v>C219</v>
      </c>
      <c r="B219" s="15"/>
      <c r="C219" s="15"/>
      <c r="D219" s="15"/>
      <c r="E219" s="15"/>
      <c r="F219" s="15"/>
      <c r="G219" s="15" t="str">
        <f>IFERROR(MAX(FILTRAR(Vendas!A:A,Vendas!B:B=B219)),"")</f>
        <v/>
      </c>
      <c r="H219" s="15" t="str">
        <f>IF(B219="","",SUMIF(Vendas!B:B,B219,Vendas!G:G))</f>
        <v/>
      </c>
      <c r="I219" s="15" t="str">
        <f>IF(B219="","",COUNTIF(Vendas!B:B,B219))</f>
        <v/>
      </c>
      <c r="J219" s="15">
        <f t="shared" si="2"/>
        <v>0</v>
      </c>
      <c r="K219" s="15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5" t="str">
        <f t="shared" si="1"/>
        <v>C220</v>
      </c>
      <c r="B220" s="15"/>
      <c r="C220" s="15"/>
      <c r="D220" s="15"/>
      <c r="E220" s="15"/>
      <c r="F220" s="15"/>
      <c r="G220" s="15" t="str">
        <f>IFERROR(MAX(FILTRAR(Vendas!A:A,Vendas!B:B=B220)),"")</f>
        <v/>
      </c>
      <c r="H220" s="15" t="str">
        <f>IF(B220="","",SUMIF(Vendas!B:B,B220,Vendas!G:G))</f>
        <v/>
      </c>
      <c r="I220" s="15" t="str">
        <f>IF(B220="","",COUNTIF(Vendas!B:B,B220))</f>
        <v/>
      </c>
      <c r="J220" s="15">
        <f t="shared" si="2"/>
        <v>0</v>
      </c>
      <c r="K220" s="15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5" t="str">
        <f t="shared" si="1"/>
        <v>C221</v>
      </c>
      <c r="B221" s="15"/>
      <c r="C221" s="15"/>
      <c r="D221" s="15"/>
      <c r="E221" s="15"/>
      <c r="F221" s="15"/>
      <c r="G221" s="15" t="str">
        <f>IFERROR(MAX(FILTRAR(Vendas!A:A,Vendas!B:B=B221)),"")</f>
        <v/>
      </c>
      <c r="H221" s="15" t="str">
        <f>IF(B221="","",SUMIF(Vendas!B:B,B221,Vendas!G:G))</f>
        <v/>
      </c>
      <c r="I221" s="15" t="str">
        <f>IF(B221="","",COUNTIF(Vendas!B:B,B221))</f>
        <v/>
      </c>
      <c r="J221" s="15">
        <f t="shared" si="2"/>
        <v>0</v>
      </c>
      <c r="K221" s="15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5" t="str">
        <f t="shared" si="1"/>
        <v>C222</v>
      </c>
      <c r="B222" s="15"/>
      <c r="C222" s="15"/>
      <c r="D222" s="15"/>
      <c r="E222" s="15"/>
      <c r="F222" s="15"/>
      <c r="G222" s="15" t="str">
        <f>IFERROR(MAX(FILTRAR(Vendas!A:A,Vendas!B:B=B222)),"")</f>
        <v/>
      </c>
      <c r="H222" s="15" t="str">
        <f>IF(B222="","",SUMIF(Vendas!B:B,B222,Vendas!G:G))</f>
        <v/>
      </c>
      <c r="I222" s="15" t="str">
        <f>IF(B222="","",COUNTIF(Vendas!B:B,B222))</f>
        <v/>
      </c>
      <c r="J222" s="15">
        <f t="shared" si="2"/>
        <v>0</v>
      </c>
      <c r="K222" s="15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5" t="str">
        <f t="shared" si="1"/>
        <v>C223</v>
      </c>
      <c r="B223" s="15"/>
      <c r="C223" s="15"/>
      <c r="D223" s="15"/>
      <c r="E223" s="15"/>
      <c r="F223" s="15"/>
      <c r="G223" s="15" t="str">
        <f>IFERROR(MAX(FILTRAR(Vendas!A:A,Vendas!B:B=B223)),"")</f>
        <v/>
      </c>
      <c r="H223" s="15" t="str">
        <f>IF(B223="","",SUMIF(Vendas!B:B,B223,Vendas!G:G))</f>
        <v/>
      </c>
      <c r="I223" s="15" t="str">
        <f>IF(B223="","",COUNTIF(Vendas!B:B,B223))</f>
        <v/>
      </c>
      <c r="J223" s="15">
        <f t="shared" si="2"/>
        <v>0</v>
      </c>
      <c r="K223" s="15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5" t="str">
        <f t="shared" si="1"/>
        <v>C224</v>
      </c>
      <c r="B224" s="15"/>
      <c r="C224" s="15"/>
      <c r="D224" s="15"/>
      <c r="E224" s="15"/>
      <c r="F224" s="15"/>
      <c r="G224" s="15" t="str">
        <f>IFERROR(MAX(FILTRAR(Vendas!A:A,Vendas!B:B=B224)),"")</f>
        <v/>
      </c>
      <c r="H224" s="15" t="str">
        <f>IF(B224="","",SUMIF(Vendas!B:B,B224,Vendas!G:G))</f>
        <v/>
      </c>
      <c r="I224" s="15" t="str">
        <f>IF(B224="","",COUNTIF(Vendas!B:B,B224))</f>
        <v/>
      </c>
      <c r="J224" s="15">
        <f t="shared" si="2"/>
        <v>0</v>
      </c>
      <c r="K224" s="15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5" t="str">
        <f t="shared" si="1"/>
        <v>C225</v>
      </c>
      <c r="B225" s="15"/>
      <c r="C225" s="15"/>
      <c r="D225" s="15"/>
      <c r="E225" s="15"/>
      <c r="F225" s="15"/>
      <c r="G225" s="15" t="str">
        <f>IFERROR(MAX(FILTRAR(Vendas!A:A,Vendas!B:B=B225)),"")</f>
        <v/>
      </c>
      <c r="H225" s="15" t="str">
        <f>IF(B225="","",SUMIF(Vendas!B:B,B225,Vendas!G:G))</f>
        <v/>
      </c>
      <c r="I225" s="15" t="str">
        <f>IF(B225="","",COUNTIF(Vendas!B:B,B225))</f>
        <v/>
      </c>
      <c r="J225" s="15">
        <f t="shared" si="2"/>
        <v>0</v>
      </c>
      <c r="K225" s="15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5" t="str">
        <f t="shared" si="1"/>
        <v>C226</v>
      </c>
      <c r="B226" s="15"/>
      <c r="C226" s="15"/>
      <c r="D226" s="15"/>
      <c r="E226" s="15"/>
      <c r="F226" s="15"/>
      <c r="G226" s="15" t="str">
        <f>IFERROR(MAX(FILTRAR(Vendas!A:A,Vendas!B:B=B226)),"")</f>
        <v/>
      </c>
      <c r="H226" s="15" t="str">
        <f>IF(B226="","",SUMIF(Vendas!B:B,B226,Vendas!G:G))</f>
        <v/>
      </c>
      <c r="I226" s="15" t="str">
        <f>IF(B226="","",COUNTIF(Vendas!B:B,B226))</f>
        <v/>
      </c>
      <c r="J226" s="15">
        <f t="shared" si="2"/>
        <v>0</v>
      </c>
      <c r="K226" s="15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5" t="str">
        <f t="shared" si="1"/>
        <v>C227</v>
      </c>
      <c r="B227" s="15"/>
      <c r="C227" s="15"/>
      <c r="D227" s="15"/>
      <c r="E227" s="15"/>
      <c r="F227" s="15"/>
      <c r="G227" s="15" t="str">
        <f>IFERROR(MAX(FILTRAR(Vendas!A:A,Vendas!B:B=B227)),"")</f>
        <v/>
      </c>
      <c r="H227" s="15" t="str">
        <f>IF(B227="","",SUMIF(Vendas!B:B,B227,Vendas!G:G))</f>
        <v/>
      </c>
      <c r="I227" s="15" t="str">
        <f>IF(B227="","",COUNTIF(Vendas!B:B,B227))</f>
        <v/>
      </c>
      <c r="J227" s="15">
        <f t="shared" si="2"/>
        <v>0</v>
      </c>
      <c r="K227" s="15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5" t="str">
        <f t="shared" si="1"/>
        <v>C228</v>
      </c>
      <c r="B228" s="15"/>
      <c r="C228" s="15"/>
      <c r="D228" s="15"/>
      <c r="E228" s="15"/>
      <c r="F228" s="15"/>
      <c r="G228" s="15" t="str">
        <f>IFERROR(MAX(FILTRAR(Vendas!A:A,Vendas!B:B=B228)),"")</f>
        <v/>
      </c>
      <c r="H228" s="15" t="str">
        <f>IF(B228="","",SUMIF(Vendas!B:B,B228,Vendas!G:G))</f>
        <v/>
      </c>
      <c r="I228" s="15" t="str">
        <f>IF(B228="","",COUNTIF(Vendas!B:B,B228))</f>
        <v/>
      </c>
      <c r="J228" s="15">
        <f t="shared" si="2"/>
        <v>0</v>
      </c>
      <c r="K228" s="15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5" t="str">
        <f t="shared" si="1"/>
        <v>C229</v>
      </c>
      <c r="B229" s="15"/>
      <c r="C229" s="15"/>
      <c r="D229" s="15"/>
      <c r="E229" s="15"/>
      <c r="F229" s="15"/>
      <c r="G229" s="15" t="str">
        <f>IFERROR(MAX(FILTRAR(Vendas!A:A,Vendas!B:B=B229)),"")</f>
        <v/>
      </c>
      <c r="H229" s="15" t="str">
        <f>IF(B229="","",SUMIF(Vendas!B:B,B229,Vendas!G:G))</f>
        <v/>
      </c>
      <c r="I229" s="15" t="str">
        <f>IF(B229="","",COUNTIF(Vendas!B:B,B229))</f>
        <v/>
      </c>
      <c r="J229" s="15">
        <f t="shared" si="2"/>
        <v>0</v>
      </c>
      <c r="K229" s="15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5" t="str">
        <f t="shared" si="1"/>
        <v>C230</v>
      </c>
      <c r="B230" s="15"/>
      <c r="C230" s="15"/>
      <c r="D230" s="15"/>
      <c r="E230" s="15"/>
      <c r="F230" s="15"/>
      <c r="G230" s="15" t="str">
        <f>IFERROR(MAX(FILTRAR(Vendas!A:A,Vendas!B:B=B230)),"")</f>
        <v/>
      </c>
      <c r="H230" s="15" t="str">
        <f>IF(B230="","",SUMIF(Vendas!B:B,B230,Vendas!G:G))</f>
        <v/>
      </c>
      <c r="I230" s="15" t="str">
        <f>IF(B230="","",COUNTIF(Vendas!B:B,B230))</f>
        <v/>
      </c>
      <c r="J230" s="15">
        <f t="shared" si="2"/>
        <v>0</v>
      </c>
      <c r="K230" s="15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5" t="str">
        <f t="shared" si="1"/>
        <v>C231</v>
      </c>
      <c r="B231" s="15"/>
      <c r="C231" s="15"/>
      <c r="D231" s="15"/>
      <c r="E231" s="15"/>
      <c r="F231" s="15"/>
      <c r="G231" s="15" t="str">
        <f>IFERROR(MAX(FILTRAR(Vendas!A:A,Vendas!B:B=B231)),"")</f>
        <v/>
      </c>
      <c r="H231" s="15" t="str">
        <f>IF(B231="","",SUMIF(Vendas!B:B,B231,Vendas!G:G))</f>
        <v/>
      </c>
      <c r="I231" s="15" t="str">
        <f>IF(B231="","",COUNTIF(Vendas!B:B,B231))</f>
        <v/>
      </c>
      <c r="J231" s="15">
        <f t="shared" si="2"/>
        <v>0</v>
      </c>
      <c r="K231" s="15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5" t="str">
        <f t="shared" si="1"/>
        <v>C232</v>
      </c>
      <c r="B232" s="15"/>
      <c r="C232" s="15"/>
      <c r="D232" s="15"/>
      <c r="E232" s="15"/>
      <c r="F232" s="15"/>
      <c r="G232" s="15" t="str">
        <f>IFERROR(MAX(FILTRAR(Vendas!A:A,Vendas!B:B=B232)),"")</f>
        <v/>
      </c>
      <c r="H232" s="15" t="str">
        <f>IF(B232="","",SUMIF(Vendas!B:B,B232,Vendas!G:G))</f>
        <v/>
      </c>
      <c r="I232" s="15" t="str">
        <f>IF(B232="","",COUNTIF(Vendas!B:B,B232))</f>
        <v/>
      </c>
      <c r="J232" s="15">
        <f t="shared" si="2"/>
        <v>0</v>
      </c>
      <c r="K232" s="15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5" t="str">
        <f t="shared" si="1"/>
        <v>C233</v>
      </c>
      <c r="B233" s="15"/>
      <c r="C233" s="15"/>
      <c r="D233" s="15"/>
      <c r="E233" s="15"/>
      <c r="F233" s="15"/>
      <c r="G233" s="15" t="str">
        <f>IFERROR(MAX(FILTRAR(Vendas!A:A,Vendas!B:B=B233)),"")</f>
        <v/>
      </c>
      <c r="H233" s="15" t="str">
        <f>IF(B233="","",SUMIF(Vendas!B:B,B233,Vendas!G:G))</f>
        <v/>
      </c>
      <c r="I233" s="15" t="str">
        <f>IF(B233="","",COUNTIF(Vendas!B:B,B233))</f>
        <v/>
      </c>
      <c r="J233" s="15">
        <f t="shared" si="2"/>
        <v>0</v>
      </c>
      <c r="K233" s="15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5" t="str">
        <f t="shared" si="1"/>
        <v>C234</v>
      </c>
      <c r="B234" s="15"/>
      <c r="C234" s="15"/>
      <c r="D234" s="15"/>
      <c r="E234" s="15"/>
      <c r="F234" s="15"/>
      <c r="G234" s="15" t="str">
        <f>IFERROR(MAX(FILTRAR(Vendas!A:A,Vendas!B:B=B234)),"")</f>
        <v/>
      </c>
      <c r="H234" s="15" t="str">
        <f>IF(B234="","",SUMIF(Vendas!B:B,B234,Vendas!G:G))</f>
        <v/>
      </c>
      <c r="I234" s="15" t="str">
        <f>IF(B234="","",COUNTIF(Vendas!B:B,B234))</f>
        <v/>
      </c>
      <c r="J234" s="15">
        <f t="shared" si="2"/>
        <v>0</v>
      </c>
      <c r="K234" s="15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5" t="str">
        <f t="shared" si="1"/>
        <v>C235</v>
      </c>
      <c r="B235" s="15"/>
      <c r="C235" s="15"/>
      <c r="D235" s="15"/>
      <c r="E235" s="15"/>
      <c r="F235" s="15"/>
      <c r="G235" s="15" t="str">
        <f>IFERROR(MAX(FILTRAR(Vendas!A:A,Vendas!B:B=B235)),"")</f>
        <v/>
      </c>
      <c r="H235" s="15" t="str">
        <f>IF(B235="","",SUMIF(Vendas!B:B,B235,Vendas!G:G))</f>
        <v/>
      </c>
      <c r="I235" s="15" t="str">
        <f>IF(B235="","",COUNTIF(Vendas!B:B,B235))</f>
        <v/>
      </c>
      <c r="J235" s="15">
        <f t="shared" si="2"/>
        <v>0</v>
      </c>
      <c r="K235" s="15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5" t="str">
        <f t="shared" si="1"/>
        <v>C236</v>
      </c>
      <c r="B236" s="15"/>
      <c r="C236" s="15"/>
      <c r="D236" s="15"/>
      <c r="E236" s="15"/>
      <c r="F236" s="15"/>
      <c r="G236" s="15" t="str">
        <f>IFERROR(MAX(FILTRAR(Vendas!A:A,Vendas!B:B=B236)),"")</f>
        <v/>
      </c>
      <c r="H236" s="15" t="str">
        <f>IF(B236="","",SUMIF(Vendas!B:B,B236,Vendas!G:G))</f>
        <v/>
      </c>
      <c r="I236" s="15" t="str">
        <f>IF(B236="","",COUNTIF(Vendas!B:B,B236))</f>
        <v/>
      </c>
      <c r="J236" s="15">
        <f t="shared" si="2"/>
        <v>0</v>
      </c>
      <c r="K236" s="15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5" t="str">
        <f t="shared" si="1"/>
        <v>C237</v>
      </c>
      <c r="B237" s="15"/>
      <c r="C237" s="15"/>
      <c r="D237" s="15"/>
      <c r="E237" s="15"/>
      <c r="F237" s="15"/>
      <c r="G237" s="15" t="str">
        <f>IFERROR(MAX(FILTRAR(Vendas!A:A,Vendas!B:B=B237)),"")</f>
        <v/>
      </c>
      <c r="H237" s="15" t="str">
        <f>IF(B237="","",SUMIF(Vendas!B:B,B237,Vendas!G:G))</f>
        <v/>
      </c>
      <c r="I237" s="15" t="str">
        <f>IF(B237="","",COUNTIF(Vendas!B:B,B237))</f>
        <v/>
      </c>
      <c r="J237" s="15">
        <f t="shared" si="2"/>
        <v>0</v>
      </c>
      <c r="K237" s="15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5" t="str">
        <f t="shared" si="1"/>
        <v>C238</v>
      </c>
      <c r="B238" s="15"/>
      <c r="C238" s="15"/>
      <c r="D238" s="15"/>
      <c r="E238" s="15"/>
      <c r="F238" s="15"/>
      <c r="G238" s="15" t="str">
        <f>IFERROR(MAX(FILTRAR(Vendas!A:A,Vendas!B:B=B238)),"")</f>
        <v/>
      </c>
      <c r="H238" s="15" t="str">
        <f>IF(B238="","",SUMIF(Vendas!B:B,B238,Vendas!G:G))</f>
        <v/>
      </c>
      <c r="I238" s="15" t="str">
        <f>IF(B238="","",COUNTIF(Vendas!B:B,B238))</f>
        <v/>
      </c>
      <c r="J238" s="15">
        <f t="shared" si="2"/>
        <v>0</v>
      </c>
      <c r="K238" s="15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5" t="str">
        <f t="shared" si="1"/>
        <v>C239</v>
      </c>
      <c r="B239" s="15"/>
      <c r="C239" s="15"/>
      <c r="D239" s="15"/>
      <c r="E239" s="15"/>
      <c r="F239" s="15"/>
      <c r="G239" s="15" t="str">
        <f>IFERROR(MAX(FILTRAR(Vendas!A:A,Vendas!B:B=B239)),"")</f>
        <v/>
      </c>
      <c r="H239" s="15" t="str">
        <f>IF(B239="","",SUMIF(Vendas!B:B,B239,Vendas!G:G))</f>
        <v/>
      </c>
      <c r="I239" s="15" t="str">
        <f>IF(B239="","",COUNTIF(Vendas!B:B,B239))</f>
        <v/>
      </c>
      <c r="J239" s="15">
        <f t="shared" si="2"/>
        <v>0</v>
      </c>
      <c r="K239" s="15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5" t="str">
        <f t="shared" si="1"/>
        <v>C240</v>
      </c>
      <c r="B240" s="15"/>
      <c r="C240" s="15"/>
      <c r="D240" s="15"/>
      <c r="E240" s="15"/>
      <c r="F240" s="15"/>
      <c r="G240" s="15" t="str">
        <f>IFERROR(MAX(FILTRAR(Vendas!A:A,Vendas!B:B=B240)),"")</f>
        <v/>
      </c>
      <c r="H240" s="15" t="str">
        <f>IF(B240="","",SUMIF(Vendas!B:B,B240,Vendas!G:G))</f>
        <v/>
      </c>
      <c r="I240" s="15" t="str">
        <f>IF(B240="","",COUNTIF(Vendas!B:B,B240))</f>
        <v/>
      </c>
      <c r="J240" s="15">
        <f t="shared" si="2"/>
        <v>0</v>
      </c>
      <c r="K240" s="15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5" t="str">
        <f t="shared" si="1"/>
        <v>C241</v>
      </c>
      <c r="B241" s="15"/>
      <c r="C241" s="15"/>
      <c r="D241" s="15"/>
      <c r="E241" s="15"/>
      <c r="F241" s="15"/>
      <c r="G241" s="15" t="str">
        <f>IFERROR(MAX(FILTRAR(Vendas!A:A,Vendas!B:B=B241)),"")</f>
        <v/>
      </c>
      <c r="H241" s="15" t="str">
        <f>IF(B241="","",SUMIF(Vendas!B:B,B241,Vendas!G:G))</f>
        <v/>
      </c>
      <c r="I241" s="15" t="str">
        <f>IF(B241="","",COUNTIF(Vendas!B:B,B241))</f>
        <v/>
      </c>
      <c r="J241" s="15">
        <f t="shared" si="2"/>
        <v>0</v>
      </c>
      <c r="K241" s="15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5" t="str">
        <f t="shared" si="1"/>
        <v>C242</v>
      </c>
      <c r="B242" s="15"/>
      <c r="C242" s="15"/>
      <c r="D242" s="15"/>
      <c r="E242" s="15"/>
      <c r="F242" s="15"/>
      <c r="G242" s="15" t="str">
        <f>IFERROR(MAX(FILTRAR(Vendas!A:A,Vendas!B:B=B242)),"")</f>
        <v/>
      </c>
      <c r="H242" s="15" t="str">
        <f>IF(B242="","",SUMIF(Vendas!B:B,B242,Vendas!G:G))</f>
        <v/>
      </c>
      <c r="I242" s="15" t="str">
        <f>IF(B242="","",COUNTIF(Vendas!B:B,B242))</f>
        <v/>
      </c>
      <c r="J242" s="15">
        <f t="shared" si="2"/>
        <v>0</v>
      </c>
      <c r="K242" s="15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5" t="str">
        <f t="shared" si="1"/>
        <v>C243</v>
      </c>
      <c r="B243" s="15"/>
      <c r="C243" s="15"/>
      <c r="D243" s="15"/>
      <c r="E243" s="15"/>
      <c r="F243" s="15"/>
      <c r="G243" s="15" t="str">
        <f>IFERROR(MAX(FILTRAR(Vendas!A:A,Vendas!B:B=B243)),"")</f>
        <v/>
      </c>
      <c r="H243" s="15" t="str">
        <f>IF(B243="","",SUMIF(Vendas!B:B,B243,Vendas!G:G))</f>
        <v/>
      </c>
      <c r="I243" s="15" t="str">
        <f>IF(B243="","",COUNTIF(Vendas!B:B,B243))</f>
        <v/>
      </c>
      <c r="J243" s="15">
        <f t="shared" si="2"/>
        <v>0</v>
      </c>
      <c r="K243" s="15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5" t="str">
        <f t="shared" si="1"/>
        <v>C244</v>
      </c>
      <c r="B244" s="15"/>
      <c r="C244" s="15"/>
      <c r="D244" s="15"/>
      <c r="E244" s="15"/>
      <c r="F244" s="15"/>
      <c r="G244" s="15" t="str">
        <f>IFERROR(MAX(FILTRAR(Vendas!A:A,Vendas!B:B=B244)),"")</f>
        <v/>
      </c>
      <c r="H244" s="15" t="str">
        <f>IF(B244="","",SUMIF(Vendas!B:B,B244,Vendas!G:G))</f>
        <v/>
      </c>
      <c r="I244" s="15" t="str">
        <f>IF(B244="","",COUNTIF(Vendas!B:B,B244))</f>
        <v/>
      </c>
      <c r="J244" s="15">
        <f t="shared" si="2"/>
        <v>0</v>
      </c>
      <c r="K244" s="15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5" t="str">
        <f t="shared" si="1"/>
        <v>C245</v>
      </c>
      <c r="B245" s="15"/>
      <c r="C245" s="15"/>
      <c r="D245" s="15"/>
      <c r="E245" s="15"/>
      <c r="F245" s="15"/>
      <c r="G245" s="15" t="str">
        <f>IFERROR(MAX(FILTRAR(Vendas!A:A,Vendas!B:B=B245)),"")</f>
        <v/>
      </c>
      <c r="H245" s="15" t="str">
        <f>IF(B245="","",SUMIF(Vendas!B:B,B245,Vendas!G:G))</f>
        <v/>
      </c>
      <c r="I245" s="15" t="str">
        <f>IF(B245="","",COUNTIF(Vendas!B:B,B245))</f>
        <v/>
      </c>
      <c r="J245" s="15">
        <f t="shared" si="2"/>
        <v>0</v>
      </c>
      <c r="K245" s="15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5" t="str">
        <f t="shared" si="1"/>
        <v>C246</v>
      </c>
      <c r="B246" s="15"/>
      <c r="C246" s="15"/>
      <c r="D246" s="15"/>
      <c r="E246" s="15"/>
      <c r="F246" s="15"/>
      <c r="G246" s="15" t="str">
        <f>IFERROR(MAX(FILTRAR(Vendas!A:A,Vendas!B:B=B246)),"")</f>
        <v/>
      </c>
      <c r="H246" s="15" t="str">
        <f>IF(B246="","",SUMIF(Vendas!B:B,B246,Vendas!G:G))</f>
        <v/>
      </c>
      <c r="I246" s="15" t="str">
        <f>IF(B246="","",COUNTIF(Vendas!B:B,B246))</f>
        <v/>
      </c>
      <c r="J246" s="15">
        <f t="shared" si="2"/>
        <v>0</v>
      </c>
      <c r="K246" s="15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5" t="str">
        <f t="shared" si="1"/>
        <v>C247</v>
      </c>
      <c r="B247" s="15"/>
      <c r="C247" s="15"/>
      <c r="D247" s="15"/>
      <c r="E247" s="15"/>
      <c r="F247" s="15"/>
      <c r="G247" s="15" t="str">
        <f>IFERROR(MAX(FILTRAR(Vendas!A:A,Vendas!B:B=B247)),"")</f>
        <v/>
      </c>
      <c r="H247" s="15" t="str">
        <f>IF(B247="","",SUMIF(Vendas!B:B,B247,Vendas!G:G))</f>
        <v/>
      </c>
      <c r="I247" s="15" t="str">
        <f>IF(B247="","",COUNTIF(Vendas!B:B,B247))</f>
        <v/>
      </c>
      <c r="J247" s="15">
        <f t="shared" si="2"/>
        <v>0</v>
      </c>
      <c r="K247" s="15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5" t="str">
        <f t="shared" si="1"/>
        <v>C248</v>
      </c>
      <c r="B248" s="15"/>
      <c r="C248" s="15"/>
      <c r="D248" s="15"/>
      <c r="E248" s="15"/>
      <c r="F248" s="15"/>
      <c r="G248" s="15" t="str">
        <f>IFERROR(MAX(FILTRAR(Vendas!A:A,Vendas!B:B=B248)),"")</f>
        <v/>
      </c>
      <c r="H248" s="15" t="str">
        <f>IF(B248="","",SUMIF(Vendas!B:B,B248,Vendas!G:G))</f>
        <v/>
      </c>
      <c r="I248" s="15" t="str">
        <f>IF(B248="","",COUNTIF(Vendas!B:B,B248))</f>
        <v/>
      </c>
      <c r="J248" s="15">
        <f t="shared" si="2"/>
        <v>0</v>
      </c>
      <c r="K248" s="15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5" t="str">
        <f t="shared" si="1"/>
        <v>C249</v>
      </c>
      <c r="B249" s="15"/>
      <c r="C249" s="15"/>
      <c r="D249" s="15"/>
      <c r="E249" s="15"/>
      <c r="F249" s="15"/>
      <c r="G249" s="15" t="str">
        <f>IFERROR(MAX(FILTRAR(Vendas!A:A,Vendas!B:B=B249)),"")</f>
        <v/>
      </c>
      <c r="H249" s="15" t="str">
        <f>IF(B249="","",SUMIF(Vendas!B:B,B249,Vendas!G:G))</f>
        <v/>
      </c>
      <c r="I249" s="15" t="str">
        <f>IF(B249="","",COUNTIF(Vendas!B:B,B249))</f>
        <v/>
      </c>
      <c r="J249" s="15">
        <f t="shared" si="2"/>
        <v>0</v>
      </c>
      <c r="K249" s="15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5" t="str">
        <f t="shared" si="1"/>
        <v>C250</v>
      </c>
      <c r="B250" s="15"/>
      <c r="C250" s="15"/>
      <c r="D250" s="15"/>
      <c r="E250" s="15"/>
      <c r="F250" s="15"/>
      <c r="G250" s="15" t="str">
        <f>IFERROR(MAX(FILTRAR(Vendas!A:A,Vendas!B:B=B250)),"")</f>
        <v/>
      </c>
      <c r="H250" s="15" t="str">
        <f>IF(B250="","",SUMIF(Vendas!B:B,B250,Vendas!G:G))</f>
        <v/>
      </c>
      <c r="I250" s="15" t="str">
        <f>IF(B250="","",COUNTIF(Vendas!B:B,B250))</f>
        <v/>
      </c>
      <c r="J250" s="15">
        <f t="shared" si="2"/>
        <v>0</v>
      </c>
      <c r="K250" s="15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5" t="str">
        <f t="shared" si="1"/>
        <v>C251</v>
      </c>
      <c r="B251" s="15"/>
      <c r="C251" s="15"/>
      <c r="D251" s="15"/>
      <c r="E251" s="15"/>
      <c r="F251" s="15"/>
      <c r="G251" s="15" t="str">
        <f>IFERROR(MAX(FILTRAR(Vendas!A:A,Vendas!B:B=B251)),"")</f>
        <v/>
      </c>
      <c r="H251" s="15" t="str">
        <f>IF(B251="","",SUMIF(Vendas!B:B,B251,Vendas!G:G))</f>
        <v/>
      </c>
      <c r="I251" s="15" t="str">
        <f>IF(B251="","",COUNTIF(Vendas!B:B,B251))</f>
        <v/>
      </c>
      <c r="J251" s="15">
        <f t="shared" si="2"/>
        <v>0</v>
      </c>
      <c r="K251" s="15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5" t="str">
        <f t="shared" si="1"/>
        <v>C252</v>
      </c>
      <c r="B252" s="15"/>
      <c r="C252" s="15"/>
      <c r="D252" s="15"/>
      <c r="E252" s="15"/>
      <c r="F252" s="15"/>
      <c r="G252" s="15" t="str">
        <f>IFERROR(MAX(FILTRAR(Vendas!A:A,Vendas!B:B=B252)),"")</f>
        <v/>
      </c>
      <c r="H252" s="15" t="str">
        <f>IF(B252="","",SUMIF(Vendas!B:B,B252,Vendas!G:G))</f>
        <v/>
      </c>
      <c r="I252" s="15" t="str">
        <f>IF(B252="","",COUNTIF(Vendas!B:B,B252))</f>
        <v/>
      </c>
      <c r="J252" s="15">
        <f t="shared" si="2"/>
        <v>0</v>
      </c>
      <c r="K252" s="15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5" t="str">
        <f t="shared" si="1"/>
        <v>C253</v>
      </c>
      <c r="B253" s="15"/>
      <c r="C253" s="15"/>
      <c r="D253" s="15"/>
      <c r="E253" s="15"/>
      <c r="F253" s="15"/>
      <c r="G253" s="15" t="str">
        <f>IFERROR(MAX(FILTRAR(Vendas!A:A,Vendas!B:B=B253)),"")</f>
        <v/>
      </c>
      <c r="H253" s="15" t="str">
        <f>IF(B253="","",SUMIF(Vendas!B:B,B253,Vendas!G:G))</f>
        <v/>
      </c>
      <c r="I253" s="15" t="str">
        <f>IF(B253="","",COUNTIF(Vendas!B:B,B253))</f>
        <v/>
      </c>
      <c r="J253" s="15">
        <f t="shared" si="2"/>
        <v>0</v>
      </c>
      <c r="K253" s="15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5" t="str">
        <f t="shared" si="1"/>
        <v>C254</v>
      </c>
      <c r="B254" s="15"/>
      <c r="C254" s="15"/>
      <c r="D254" s="15"/>
      <c r="E254" s="15"/>
      <c r="F254" s="15"/>
      <c r="G254" s="15" t="str">
        <f>IFERROR(MAX(FILTRAR(Vendas!A:A,Vendas!B:B=B254)),"")</f>
        <v/>
      </c>
      <c r="H254" s="15" t="str">
        <f>IF(B254="","",SUMIF(Vendas!B:B,B254,Vendas!G:G))</f>
        <v/>
      </c>
      <c r="I254" s="15" t="str">
        <f>IF(B254="","",COUNTIF(Vendas!B:B,B254))</f>
        <v/>
      </c>
      <c r="J254" s="15">
        <f t="shared" si="2"/>
        <v>0</v>
      </c>
      <c r="K254" s="15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5" t="str">
        <f t="shared" si="1"/>
        <v>C255</v>
      </c>
      <c r="B255" s="15"/>
      <c r="C255" s="15"/>
      <c r="D255" s="15"/>
      <c r="E255" s="15"/>
      <c r="F255" s="15"/>
      <c r="G255" s="15" t="str">
        <f>IFERROR(MAX(FILTRAR(Vendas!A:A,Vendas!B:B=B255)),"")</f>
        <v/>
      </c>
      <c r="H255" s="15" t="str">
        <f>IF(B255="","",SUMIF(Vendas!B:B,B255,Vendas!G:G))</f>
        <v/>
      </c>
      <c r="I255" s="15" t="str">
        <f>IF(B255="","",COUNTIF(Vendas!B:B,B255))</f>
        <v/>
      </c>
      <c r="J255" s="15">
        <f t="shared" si="2"/>
        <v>0</v>
      </c>
      <c r="K255" s="15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5" t="str">
        <f t="shared" si="1"/>
        <v>C256</v>
      </c>
      <c r="B256" s="15"/>
      <c r="C256" s="15"/>
      <c r="D256" s="15"/>
      <c r="E256" s="15"/>
      <c r="F256" s="15"/>
      <c r="G256" s="15" t="str">
        <f>IFERROR(MAX(FILTRAR(Vendas!A:A,Vendas!B:B=B256)),"")</f>
        <v/>
      </c>
      <c r="H256" s="15" t="str">
        <f>IF(B256="","",SUMIF(Vendas!B:B,B256,Vendas!G:G))</f>
        <v/>
      </c>
      <c r="I256" s="15" t="str">
        <f>IF(B256="","",COUNTIF(Vendas!B:B,B256))</f>
        <v/>
      </c>
      <c r="J256" s="15">
        <f t="shared" si="2"/>
        <v>0</v>
      </c>
      <c r="K256" s="15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5" t="str">
        <f t="shared" si="1"/>
        <v>C257</v>
      </c>
      <c r="B257" s="15"/>
      <c r="C257" s="15"/>
      <c r="D257" s="15"/>
      <c r="E257" s="15"/>
      <c r="F257" s="15"/>
      <c r="G257" s="15" t="str">
        <f>IFERROR(MAX(FILTRAR(Vendas!A:A,Vendas!B:B=B257)),"")</f>
        <v/>
      </c>
      <c r="H257" s="15" t="str">
        <f>IF(B257="","",SUMIF(Vendas!B:B,B257,Vendas!G:G))</f>
        <v/>
      </c>
      <c r="I257" s="15" t="str">
        <f>IF(B257="","",COUNTIF(Vendas!B:B,B257))</f>
        <v/>
      </c>
      <c r="J257" s="15">
        <f t="shared" si="2"/>
        <v>0</v>
      </c>
      <c r="K257" s="15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5" t="str">
        <f t="shared" si="1"/>
        <v>C258</v>
      </c>
      <c r="B258" s="15"/>
      <c r="C258" s="15"/>
      <c r="D258" s="15"/>
      <c r="E258" s="15"/>
      <c r="F258" s="15"/>
      <c r="G258" s="15" t="str">
        <f>IFERROR(MAX(FILTRAR(Vendas!A:A,Vendas!B:B=B258)),"")</f>
        <v/>
      </c>
      <c r="H258" s="15" t="str">
        <f>IF(B258="","",SUMIF(Vendas!B:B,B258,Vendas!G:G))</f>
        <v/>
      </c>
      <c r="I258" s="15" t="str">
        <f>IF(B258="","",COUNTIF(Vendas!B:B,B258))</f>
        <v/>
      </c>
      <c r="J258" s="15">
        <f t="shared" si="2"/>
        <v>0</v>
      </c>
      <c r="K258" s="15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5" t="str">
        <f t="shared" si="1"/>
        <v>C259</v>
      </c>
      <c r="B259" s="15"/>
      <c r="C259" s="15"/>
      <c r="D259" s="15"/>
      <c r="E259" s="15"/>
      <c r="F259" s="15"/>
      <c r="G259" s="15" t="str">
        <f>IFERROR(MAX(FILTRAR(Vendas!A:A,Vendas!B:B=B259)),"")</f>
        <v/>
      </c>
      <c r="H259" s="15" t="str">
        <f>IF(B259="","",SUMIF(Vendas!B:B,B259,Vendas!G:G))</f>
        <v/>
      </c>
      <c r="I259" s="15" t="str">
        <f>IF(B259="","",COUNTIF(Vendas!B:B,B259))</f>
        <v/>
      </c>
      <c r="J259" s="15">
        <f t="shared" si="2"/>
        <v>0</v>
      </c>
      <c r="K259" s="15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5" t="str">
        <f t="shared" si="1"/>
        <v>C260</v>
      </c>
      <c r="B260" s="15"/>
      <c r="C260" s="15"/>
      <c r="D260" s="15"/>
      <c r="E260" s="15"/>
      <c r="F260" s="15"/>
      <c r="G260" s="15" t="str">
        <f>IFERROR(MAX(FILTRAR(Vendas!A:A,Vendas!B:B=B260)),"")</f>
        <v/>
      </c>
      <c r="H260" s="15" t="str">
        <f>IF(B260="","",SUMIF(Vendas!B:B,B260,Vendas!G:G))</f>
        <v/>
      </c>
      <c r="I260" s="15" t="str">
        <f>IF(B260="","",COUNTIF(Vendas!B:B,B260))</f>
        <v/>
      </c>
      <c r="J260" s="15">
        <f t="shared" si="2"/>
        <v>0</v>
      </c>
      <c r="K260" s="15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5" t="str">
        <f t="shared" si="1"/>
        <v>C261</v>
      </c>
      <c r="B261" s="15"/>
      <c r="C261" s="15"/>
      <c r="D261" s="15"/>
      <c r="E261" s="15"/>
      <c r="F261" s="15"/>
      <c r="G261" s="15" t="str">
        <f>IFERROR(MAX(FILTRAR(Vendas!A:A,Vendas!B:B=B261)),"")</f>
        <v/>
      </c>
      <c r="H261" s="15" t="str">
        <f>IF(B261="","",SUMIF(Vendas!B:B,B261,Vendas!G:G))</f>
        <v/>
      </c>
      <c r="I261" s="15" t="str">
        <f>IF(B261="","",COUNTIF(Vendas!B:B,B261))</f>
        <v/>
      </c>
      <c r="J261" s="15">
        <f t="shared" si="2"/>
        <v>0</v>
      </c>
      <c r="K261" s="15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5" t="str">
        <f t="shared" si="1"/>
        <v>C262</v>
      </c>
      <c r="B262" s="15"/>
      <c r="C262" s="15"/>
      <c r="D262" s="15"/>
      <c r="E262" s="15"/>
      <c r="F262" s="15"/>
      <c r="G262" s="15" t="str">
        <f>IFERROR(MAX(FILTRAR(Vendas!A:A,Vendas!B:B=B262)),"")</f>
        <v/>
      </c>
      <c r="H262" s="15" t="str">
        <f>IF(B262="","",SUMIF(Vendas!B:B,B262,Vendas!G:G))</f>
        <v/>
      </c>
      <c r="I262" s="15" t="str">
        <f>IF(B262="","",COUNTIF(Vendas!B:B,B262))</f>
        <v/>
      </c>
      <c r="J262" s="15">
        <f t="shared" si="2"/>
        <v>0</v>
      </c>
      <c r="K262" s="15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5" t="str">
        <f t="shared" si="1"/>
        <v>C263</v>
      </c>
      <c r="B263" s="15"/>
      <c r="C263" s="15"/>
      <c r="D263" s="15"/>
      <c r="E263" s="15"/>
      <c r="F263" s="15"/>
      <c r="G263" s="15" t="str">
        <f>IFERROR(MAX(FILTRAR(Vendas!A:A,Vendas!B:B=B263)),"")</f>
        <v/>
      </c>
      <c r="H263" s="15" t="str">
        <f>IF(B263="","",SUMIF(Vendas!B:B,B263,Vendas!G:G))</f>
        <v/>
      </c>
      <c r="I263" s="15" t="str">
        <f>IF(B263="","",COUNTIF(Vendas!B:B,B263))</f>
        <v/>
      </c>
      <c r="J263" s="15">
        <f t="shared" si="2"/>
        <v>0</v>
      </c>
      <c r="K263" s="15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5" t="str">
        <f t="shared" si="1"/>
        <v>C264</v>
      </c>
      <c r="B264" s="15"/>
      <c r="C264" s="15"/>
      <c r="D264" s="15"/>
      <c r="E264" s="15"/>
      <c r="F264" s="15"/>
      <c r="G264" s="15" t="str">
        <f>IFERROR(MAX(FILTRAR(Vendas!A:A,Vendas!B:B=B264)),"")</f>
        <v/>
      </c>
      <c r="H264" s="15" t="str">
        <f>IF(B264="","",SUMIF(Vendas!B:B,B264,Vendas!G:G))</f>
        <v/>
      </c>
      <c r="I264" s="15" t="str">
        <f>IF(B264="","",COUNTIF(Vendas!B:B,B264))</f>
        <v/>
      </c>
      <c r="J264" s="15">
        <f t="shared" si="2"/>
        <v>0</v>
      </c>
      <c r="K264" s="15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5" t="str">
        <f t="shared" si="1"/>
        <v>C265</v>
      </c>
      <c r="B265" s="15"/>
      <c r="C265" s="15"/>
      <c r="D265" s="15"/>
      <c r="E265" s="15"/>
      <c r="F265" s="15"/>
      <c r="G265" s="15" t="str">
        <f>IFERROR(MAX(FILTRAR(Vendas!A:A,Vendas!B:B=B265)),"")</f>
        <v/>
      </c>
      <c r="H265" s="15" t="str">
        <f>IF(B265="","",SUMIF(Vendas!B:B,B265,Vendas!G:G))</f>
        <v/>
      </c>
      <c r="I265" s="15" t="str">
        <f>IF(B265="","",COUNTIF(Vendas!B:B,B265))</f>
        <v/>
      </c>
      <c r="J265" s="15">
        <f t="shared" si="2"/>
        <v>0</v>
      </c>
      <c r="K265" s="15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5" t="str">
        <f t="shared" si="1"/>
        <v>C266</v>
      </c>
      <c r="B266" s="15"/>
      <c r="C266" s="15"/>
      <c r="D266" s="15"/>
      <c r="E266" s="15"/>
      <c r="F266" s="15"/>
      <c r="G266" s="15" t="str">
        <f>IFERROR(MAX(FILTRAR(Vendas!A:A,Vendas!B:B=B266)),"")</f>
        <v/>
      </c>
      <c r="H266" s="15" t="str">
        <f>IF(B266="","",SUMIF(Vendas!B:B,B266,Vendas!G:G))</f>
        <v/>
      </c>
      <c r="I266" s="15" t="str">
        <f>IF(B266="","",COUNTIF(Vendas!B:B,B266))</f>
        <v/>
      </c>
      <c r="J266" s="15">
        <f t="shared" si="2"/>
        <v>0</v>
      </c>
      <c r="K266" s="15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5" t="str">
        <f t="shared" si="1"/>
        <v>C267</v>
      </c>
      <c r="B267" s="15"/>
      <c r="C267" s="15"/>
      <c r="D267" s="15"/>
      <c r="E267" s="15"/>
      <c r="F267" s="15"/>
      <c r="G267" s="15" t="str">
        <f>IFERROR(MAX(FILTRAR(Vendas!A:A,Vendas!B:B=B267)),"")</f>
        <v/>
      </c>
      <c r="H267" s="15" t="str">
        <f>IF(B267="","",SUMIF(Vendas!B:B,B267,Vendas!G:G))</f>
        <v/>
      </c>
      <c r="I267" s="15" t="str">
        <f>IF(B267="","",COUNTIF(Vendas!B:B,B267))</f>
        <v/>
      </c>
      <c r="J267" s="15">
        <f t="shared" si="2"/>
        <v>0</v>
      </c>
      <c r="K267" s="15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5" t="str">
        <f t="shared" si="1"/>
        <v>C268</v>
      </c>
      <c r="B268" s="15"/>
      <c r="C268" s="15"/>
      <c r="D268" s="15"/>
      <c r="E268" s="15"/>
      <c r="F268" s="15"/>
      <c r="G268" s="15" t="str">
        <f>IFERROR(MAX(FILTRAR(Vendas!A:A,Vendas!B:B=B268)),"")</f>
        <v/>
      </c>
      <c r="H268" s="15" t="str">
        <f>IF(B268="","",SUMIF(Vendas!B:B,B268,Vendas!G:G))</f>
        <v/>
      </c>
      <c r="I268" s="15" t="str">
        <f>IF(B268="","",COUNTIF(Vendas!B:B,B268))</f>
        <v/>
      </c>
      <c r="J268" s="15">
        <f t="shared" si="2"/>
        <v>0</v>
      </c>
      <c r="K268" s="15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5" t="str">
        <f t="shared" si="1"/>
        <v>C269</v>
      </c>
      <c r="B269" s="15"/>
      <c r="C269" s="15"/>
      <c r="D269" s="15"/>
      <c r="E269" s="15"/>
      <c r="F269" s="15"/>
      <c r="G269" s="15" t="str">
        <f>IFERROR(MAX(FILTRAR(Vendas!A:A,Vendas!B:B=B269)),"")</f>
        <v/>
      </c>
      <c r="H269" s="15" t="str">
        <f>IF(B269="","",SUMIF(Vendas!B:B,B269,Vendas!G:G))</f>
        <v/>
      </c>
      <c r="I269" s="15" t="str">
        <f>IF(B269="","",COUNTIF(Vendas!B:B,B269))</f>
        <v/>
      </c>
      <c r="J269" s="15">
        <f t="shared" si="2"/>
        <v>0</v>
      </c>
      <c r="K269" s="15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5" t="str">
        <f t="shared" si="1"/>
        <v>C270</v>
      </c>
      <c r="B270" s="15"/>
      <c r="C270" s="15"/>
      <c r="D270" s="15"/>
      <c r="E270" s="15"/>
      <c r="F270" s="15"/>
      <c r="G270" s="15" t="str">
        <f>IFERROR(MAX(FILTRAR(Vendas!A:A,Vendas!B:B=B270)),"")</f>
        <v/>
      </c>
      <c r="H270" s="15" t="str">
        <f>IF(B270="","",SUMIF(Vendas!B:B,B270,Vendas!G:G))</f>
        <v/>
      </c>
      <c r="I270" s="15" t="str">
        <f>IF(B270="","",COUNTIF(Vendas!B:B,B270))</f>
        <v/>
      </c>
      <c r="J270" s="15">
        <f t="shared" si="2"/>
        <v>0</v>
      </c>
      <c r="K270" s="15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5" t="str">
        <f t="shared" si="1"/>
        <v>C271</v>
      </c>
      <c r="B271" s="15"/>
      <c r="C271" s="15"/>
      <c r="D271" s="15"/>
      <c r="E271" s="15"/>
      <c r="F271" s="15"/>
      <c r="G271" s="15" t="str">
        <f>IFERROR(MAX(FILTRAR(Vendas!A:A,Vendas!B:B=B271)),"")</f>
        <v/>
      </c>
      <c r="H271" s="15" t="str">
        <f>IF(B271="","",SUMIF(Vendas!B:B,B271,Vendas!G:G))</f>
        <v/>
      </c>
      <c r="I271" s="15" t="str">
        <f>IF(B271="","",COUNTIF(Vendas!B:B,B271))</f>
        <v/>
      </c>
      <c r="J271" s="15">
        <f t="shared" si="2"/>
        <v>0</v>
      </c>
      <c r="K271" s="15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5" t="str">
        <f t="shared" si="1"/>
        <v>C272</v>
      </c>
      <c r="B272" s="15"/>
      <c r="C272" s="15"/>
      <c r="D272" s="15"/>
      <c r="E272" s="15"/>
      <c r="F272" s="15"/>
      <c r="G272" s="15" t="str">
        <f>IFERROR(MAX(FILTRAR(Vendas!A:A,Vendas!B:B=B272)),"")</f>
        <v/>
      </c>
      <c r="H272" s="15" t="str">
        <f>IF(B272="","",SUMIF(Vendas!B:B,B272,Vendas!G:G))</f>
        <v/>
      </c>
      <c r="I272" s="15" t="str">
        <f>IF(B272="","",COUNTIF(Vendas!B:B,B272))</f>
        <v/>
      </c>
      <c r="J272" s="15">
        <f t="shared" si="2"/>
        <v>0</v>
      </c>
      <c r="K272" s="15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5" t="str">
        <f t="shared" si="1"/>
        <v>C273</v>
      </c>
      <c r="B273" s="15"/>
      <c r="C273" s="15"/>
      <c r="D273" s="15"/>
      <c r="E273" s="15"/>
      <c r="F273" s="15"/>
      <c r="G273" s="15" t="str">
        <f>IFERROR(MAX(FILTRAR(Vendas!A:A,Vendas!B:B=B273)),"")</f>
        <v/>
      </c>
      <c r="H273" s="15" t="str">
        <f>IF(B273="","",SUMIF(Vendas!B:B,B273,Vendas!G:G))</f>
        <v/>
      </c>
      <c r="I273" s="15" t="str">
        <f>IF(B273="","",COUNTIF(Vendas!B:B,B273))</f>
        <v/>
      </c>
      <c r="J273" s="15">
        <f t="shared" si="2"/>
        <v>0</v>
      </c>
      <c r="K273" s="15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5" t="str">
        <f t="shared" si="1"/>
        <v>C274</v>
      </c>
      <c r="B274" s="15"/>
      <c r="C274" s="15"/>
      <c r="D274" s="15"/>
      <c r="E274" s="15"/>
      <c r="F274" s="15"/>
      <c r="G274" s="15" t="str">
        <f>IFERROR(MAX(FILTRAR(Vendas!A:A,Vendas!B:B=B274)),"")</f>
        <v/>
      </c>
      <c r="H274" s="15" t="str">
        <f>IF(B274="","",SUMIF(Vendas!B:B,B274,Vendas!G:G))</f>
        <v/>
      </c>
      <c r="I274" s="15" t="str">
        <f>IF(B274="","",COUNTIF(Vendas!B:B,B274))</f>
        <v/>
      </c>
      <c r="J274" s="15">
        <f t="shared" si="2"/>
        <v>0</v>
      </c>
      <c r="K274" s="15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5" t="str">
        <f t="shared" si="1"/>
        <v>C275</v>
      </c>
      <c r="B275" s="15"/>
      <c r="C275" s="15"/>
      <c r="D275" s="15"/>
      <c r="E275" s="15"/>
      <c r="F275" s="15"/>
      <c r="G275" s="15" t="str">
        <f>IFERROR(MAX(FILTRAR(Vendas!A:A,Vendas!B:B=B275)),"")</f>
        <v/>
      </c>
      <c r="H275" s="15" t="str">
        <f>IF(B275="","",SUMIF(Vendas!B:B,B275,Vendas!G:G))</f>
        <v/>
      </c>
      <c r="I275" s="15" t="str">
        <f>IF(B275="","",COUNTIF(Vendas!B:B,B275))</f>
        <v/>
      </c>
      <c r="J275" s="15">
        <f t="shared" si="2"/>
        <v>0</v>
      </c>
      <c r="K275" s="15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5" t="str">
        <f t="shared" si="1"/>
        <v>C276</v>
      </c>
      <c r="B276" s="15"/>
      <c r="C276" s="15"/>
      <c r="D276" s="15"/>
      <c r="E276" s="15"/>
      <c r="F276" s="15"/>
      <c r="G276" s="15" t="str">
        <f>IFERROR(MAX(FILTRAR(Vendas!A:A,Vendas!B:B=B276)),"")</f>
        <v/>
      </c>
      <c r="H276" s="15" t="str">
        <f>IF(B276="","",SUMIF(Vendas!B:B,B276,Vendas!G:G))</f>
        <v/>
      </c>
      <c r="I276" s="15" t="str">
        <f>IF(B276="","",COUNTIF(Vendas!B:B,B276))</f>
        <v/>
      </c>
      <c r="J276" s="15">
        <f t="shared" si="2"/>
        <v>0</v>
      </c>
      <c r="K276" s="15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5" t="str">
        <f t="shared" si="1"/>
        <v>C277</v>
      </c>
      <c r="B277" s="15"/>
      <c r="C277" s="15"/>
      <c r="D277" s="15"/>
      <c r="E277" s="15"/>
      <c r="F277" s="15"/>
      <c r="G277" s="15" t="str">
        <f>IFERROR(MAX(FILTRAR(Vendas!A:A,Vendas!B:B=B277)),"")</f>
        <v/>
      </c>
      <c r="H277" s="15" t="str">
        <f>IF(B277="","",SUMIF(Vendas!B:B,B277,Vendas!G:G))</f>
        <v/>
      </c>
      <c r="I277" s="15" t="str">
        <f>IF(B277="","",COUNTIF(Vendas!B:B,B277))</f>
        <v/>
      </c>
      <c r="J277" s="15">
        <f t="shared" si="2"/>
        <v>0</v>
      </c>
      <c r="K277" s="15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5" t="str">
        <f t="shared" si="1"/>
        <v>C278</v>
      </c>
      <c r="B278" s="15"/>
      <c r="C278" s="15"/>
      <c r="D278" s="15"/>
      <c r="E278" s="15"/>
      <c r="F278" s="15"/>
      <c r="G278" s="15" t="str">
        <f>IFERROR(MAX(FILTRAR(Vendas!A:A,Vendas!B:B=B278)),"")</f>
        <v/>
      </c>
      <c r="H278" s="15" t="str">
        <f>IF(B278="","",SUMIF(Vendas!B:B,B278,Vendas!G:G))</f>
        <v/>
      </c>
      <c r="I278" s="15" t="str">
        <f>IF(B278="","",COUNTIF(Vendas!B:B,B278))</f>
        <v/>
      </c>
      <c r="J278" s="15">
        <f t="shared" si="2"/>
        <v>0</v>
      </c>
      <c r="K278" s="15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5" t="str">
        <f t="shared" si="1"/>
        <v>C279</v>
      </c>
      <c r="B279" s="15"/>
      <c r="C279" s="15"/>
      <c r="D279" s="15"/>
      <c r="E279" s="15"/>
      <c r="F279" s="15"/>
      <c r="G279" s="15" t="str">
        <f>IFERROR(MAX(FILTRAR(Vendas!A:A,Vendas!B:B=B279)),"")</f>
        <v/>
      </c>
      <c r="H279" s="15" t="str">
        <f>IF(B279="","",SUMIF(Vendas!B:B,B279,Vendas!G:G))</f>
        <v/>
      </c>
      <c r="I279" s="15" t="str">
        <f>IF(B279="","",COUNTIF(Vendas!B:B,B279))</f>
        <v/>
      </c>
      <c r="J279" s="15">
        <f t="shared" si="2"/>
        <v>0</v>
      </c>
      <c r="K279" s="15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5" t="str">
        <f t="shared" si="1"/>
        <v>C280</v>
      </c>
      <c r="B280" s="15"/>
      <c r="C280" s="15"/>
      <c r="D280" s="15"/>
      <c r="E280" s="15"/>
      <c r="F280" s="15"/>
      <c r="G280" s="15" t="str">
        <f>IFERROR(MAX(FILTRAR(Vendas!A:A,Vendas!B:B=B280)),"")</f>
        <v/>
      </c>
      <c r="H280" s="15" t="str">
        <f>IF(B280="","",SUMIF(Vendas!B:B,B280,Vendas!G:G))</f>
        <v/>
      </c>
      <c r="I280" s="15" t="str">
        <f>IF(B280="","",COUNTIF(Vendas!B:B,B280))</f>
        <v/>
      </c>
      <c r="J280" s="15">
        <f t="shared" si="2"/>
        <v>0</v>
      </c>
      <c r="K280" s="15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5" t="str">
        <f t="shared" si="1"/>
        <v>C281</v>
      </c>
      <c r="B281" s="15"/>
      <c r="C281" s="15"/>
      <c r="D281" s="15"/>
      <c r="E281" s="15"/>
      <c r="F281" s="15"/>
      <c r="G281" s="15" t="str">
        <f>IFERROR(MAX(FILTRAR(Vendas!A:A,Vendas!B:B=B281)),"")</f>
        <v/>
      </c>
      <c r="H281" s="15" t="str">
        <f>IF(B281="","",SUMIF(Vendas!B:B,B281,Vendas!G:G))</f>
        <v/>
      </c>
      <c r="I281" s="15" t="str">
        <f>IF(B281="","",COUNTIF(Vendas!B:B,B281))</f>
        <v/>
      </c>
      <c r="J281" s="15">
        <f t="shared" si="2"/>
        <v>0</v>
      </c>
      <c r="K281" s="15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5" t="str">
        <f t="shared" si="1"/>
        <v>C282</v>
      </c>
      <c r="B282" s="15"/>
      <c r="C282" s="15"/>
      <c r="D282" s="15"/>
      <c r="E282" s="15"/>
      <c r="F282" s="15"/>
      <c r="G282" s="15" t="str">
        <f>IFERROR(MAX(FILTRAR(Vendas!A:A,Vendas!B:B=B282)),"")</f>
        <v/>
      </c>
      <c r="H282" s="15" t="str">
        <f>IF(B282="","",SUMIF(Vendas!B:B,B282,Vendas!G:G))</f>
        <v/>
      </c>
      <c r="I282" s="15" t="str">
        <f>IF(B282="","",COUNTIF(Vendas!B:B,B282))</f>
        <v/>
      </c>
      <c r="J282" s="15">
        <f t="shared" si="2"/>
        <v>0</v>
      </c>
      <c r="K282" s="15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5" t="str">
        <f t="shared" si="1"/>
        <v>C283</v>
      </c>
      <c r="B283" s="15"/>
      <c r="C283" s="15"/>
      <c r="D283" s="15"/>
      <c r="E283" s="15"/>
      <c r="F283" s="15"/>
      <c r="G283" s="15" t="str">
        <f>IFERROR(MAX(FILTRAR(Vendas!A:A,Vendas!B:B=B283)),"")</f>
        <v/>
      </c>
      <c r="H283" s="15" t="str">
        <f>IF(B283="","",SUMIF(Vendas!B:B,B283,Vendas!G:G))</f>
        <v/>
      </c>
      <c r="I283" s="15" t="str">
        <f>IF(B283="","",COUNTIF(Vendas!B:B,B283))</f>
        <v/>
      </c>
      <c r="J283" s="15">
        <f t="shared" si="2"/>
        <v>0</v>
      </c>
      <c r="K283" s="15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5" t="str">
        <f t="shared" si="1"/>
        <v>C284</v>
      </c>
      <c r="B284" s="15"/>
      <c r="C284" s="15"/>
      <c r="D284" s="15"/>
      <c r="E284" s="15"/>
      <c r="F284" s="15"/>
      <c r="G284" s="15" t="str">
        <f>IFERROR(MAX(FILTRAR(Vendas!A:A,Vendas!B:B=B284)),"")</f>
        <v/>
      </c>
      <c r="H284" s="15" t="str">
        <f>IF(B284="","",SUMIF(Vendas!B:B,B284,Vendas!G:G))</f>
        <v/>
      </c>
      <c r="I284" s="15" t="str">
        <f>IF(B284="","",COUNTIF(Vendas!B:B,B284))</f>
        <v/>
      </c>
      <c r="J284" s="15">
        <f t="shared" si="2"/>
        <v>0</v>
      </c>
      <c r="K284" s="15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5" t="str">
        <f t="shared" si="1"/>
        <v>C285</v>
      </c>
      <c r="B285" s="15"/>
      <c r="C285" s="15"/>
      <c r="D285" s="15"/>
      <c r="E285" s="15"/>
      <c r="F285" s="15"/>
      <c r="G285" s="15" t="str">
        <f>IFERROR(MAX(FILTRAR(Vendas!A:A,Vendas!B:B=B285)),"")</f>
        <v/>
      </c>
      <c r="H285" s="15" t="str">
        <f>IF(B285="","",SUMIF(Vendas!B:B,B285,Vendas!G:G))</f>
        <v/>
      </c>
      <c r="I285" s="15" t="str">
        <f>IF(B285="","",COUNTIF(Vendas!B:B,B285))</f>
        <v/>
      </c>
      <c r="J285" s="15">
        <f t="shared" si="2"/>
        <v>0</v>
      </c>
      <c r="K285" s="15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5" t="str">
        <f t="shared" si="1"/>
        <v>C286</v>
      </c>
      <c r="B286" s="15"/>
      <c r="C286" s="15"/>
      <c r="D286" s="15"/>
      <c r="E286" s="15"/>
      <c r="F286" s="15"/>
      <c r="G286" s="15" t="str">
        <f>IFERROR(MAX(FILTRAR(Vendas!A:A,Vendas!B:B=B286)),"")</f>
        <v/>
      </c>
      <c r="H286" s="15" t="str">
        <f>IF(B286="","",SUMIF(Vendas!B:B,B286,Vendas!G:G))</f>
        <v/>
      </c>
      <c r="I286" s="15" t="str">
        <f>IF(B286="","",COUNTIF(Vendas!B:B,B286))</f>
        <v/>
      </c>
      <c r="J286" s="15">
        <f t="shared" si="2"/>
        <v>0</v>
      </c>
      <c r="K286" s="15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5" t="str">
        <f t="shared" si="1"/>
        <v>C287</v>
      </c>
      <c r="B287" s="15"/>
      <c r="C287" s="15"/>
      <c r="D287" s="15"/>
      <c r="E287" s="15"/>
      <c r="F287" s="15"/>
      <c r="G287" s="15" t="str">
        <f>IFERROR(MAX(FILTRAR(Vendas!A:A,Vendas!B:B=B287)),"")</f>
        <v/>
      </c>
      <c r="H287" s="15" t="str">
        <f>IF(B287="","",SUMIF(Vendas!B:B,B287,Vendas!G:G))</f>
        <v/>
      </c>
      <c r="I287" s="15" t="str">
        <f>IF(B287="","",COUNTIF(Vendas!B:B,B287))</f>
        <v/>
      </c>
      <c r="J287" s="15">
        <f t="shared" si="2"/>
        <v>0</v>
      </c>
      <c r="K287" s="15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5" t="str">
        <f t="shared" si="1"/>
        <v>C288</v>
      </c>
      <c r="B288" s="15"/>
      <c r="C288" s="15"/>
      <c r="D288" s="15"/>
      <c r="E288" s="15"/>
      <c r="F288" s="15"/>
      <c r="G288" s="15" t="str">
        <f>IFERROR(MAX(FILTRAR(Vendas!A:A,Vendas!B:B=B288)),"")</f>
        <v/>
      </c>
      <c r="H288" s="15" t="str">
        <f>IF(B288="","",SUMIF(Vendas!B:B,B288,Vendas!G:G))</f>
        <v/>
      </c>
      <c r="I288" s="15" t="str">
        <f>IF(B288="","",COUNTIF(Vendas!B:B,B288))</f>
        <v/>
      </c>
      <c r="J288" s="15">
        <f t="shared" si="2"/>
        <v>0</v>
      </c>
      <c r="K288" s="15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5" t="str">
        <f t="shared" si="1"/>
        <v>C289</v>
      </c>
      <c r="B289" s="15"/>
      <c r="C289" s="15"/>
      <c r="D289" s="15"/>
      <c r="E289" s="15"/>
      <c r="F289" s="15"/>
      <c r="G289" s="15" t="str">
        <f>IFERROR(MAX(FILTRAR(Vendas!A:A,Vendas!B:B=B289)),"")</f>
        <v/>
      </c>
      <c r="H289" s="15" t="str">
        <f>IF(B289="","",SUMIF(Vendas!B:B,B289,Vendas!G:G))</f>
        <v/>
      </c>
      <c r="I289" s="15" t="str">
        <f>IF(B289="","",COUNTIF(Vendas!B:B,B289))</f>
        <v/>
      </c>
      <c r="J289" s="15">
        <f t="shared" si="2"/>
        <v>0</v>
      </c>
      <c r="K289" s="15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5" t="str">
        <f t="shared" si="1"/>
        <v>C290</v>
      </c>
      <c r="B290" s="15"/>
      <c r="C290" s="15"/>
      <c r="D290" s="15"/>
      <c r="E290" s="15"/>
      <c r="F290" s="15"/>
      <c r="G290" s="15" t="str">
        <f>IFERROR(MAX(FILTRAR(Vendas!A:A,Vendas!B:B=B290)),"")</f>
        <v/>
      </c>
      <c r="H290" s="15" t="str">
        <f>IF(B290="","",SUMIF(Vendas!B:B,B290,Vendas!G:G))</f>
        <v/>
      </c>
      <c r="I290" s="15" t="str">
        <f>IF(B290="","",COUNTIF(Vendas!B:B,B290))</f>
        <v/>
      </c>
      <c r="J290" s="15">
        <f t="shared" si="2"/>
        <v>0</v>
      </c>
      <c r="K290" s="15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5" t="str">
        <f t="shared" si="1"/>
        <v>C291</v>
      </c>
      <c r="B291" s="15"/>
      <c r="C291" s="15"/>
      <c r="D291" s="15"/>
      <c r="E291" s="15"/>
      <c r="F291" s="15"/>
      <c r="G291" s="15" t="str">
        <f>IFERROR(MAX(FILTRAR(Vendas!A:A,Vendas!B:B=B291)),"")</f>
        <v/>
      </c>
      <c r="H291" s="15" t="str">
        <f>IF(B291="","",SUMIF(Vendas!B:B,B291,Vendas!G:G))</f>
        <v/>
      </c>
      <c r="I291" s="15" t="str">
        <f>IF(B291="","",COUNTIF(Vendas!B:B,B291))</f>
        <v/>
      </c>
      <c r="J291" s="15">
        <f t="shared" si="2"/>
        <v>0</v>
      </c>
      <c r="K291" s="15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5" t="str">
        <f t="shared" si="1"/>
        <v>C292</v>
      </c>
      <c r="B292" s="15"/>
      <c r="C292" s="15"/>
      <c r="D292" s="15"/>
      <c r="E292" s="15"/>
      <c r="F292" s="15"/>
      <c r="G292" s="15" t="str">
        <f>IFERROR(MAX(FILTRAR(Vendas!A:A,Vendas!B:B=B292)),"")</f>
        <v/>
      </c>
      <c r="H292" s="15" t="str">
        <f>IF(B292="","",SUMIF(Vendas!B:B,B292,Vendas!G:G))</f>
        <v/>
      </c>
      <c r="I292" s="15" t="str">
        <f>IF(B292="","",COUNTIF(Vendas!B:B,B292))</f>
        <v/>
      </c>
      <c r="J292" s="15">
        <f t="shared" si="2"/>
        <v>0</v>
      </c>
      <c r="K292" s="15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5" t="str">
        <f t="shared" si="1"/>
        <v>C293</v>
      </c>
      <c r="B293" s="15"/>
      <c r="C293" s="15"/>
      <c r="D293" s="15"/>
      <c r="E293" s="15"/>
      <c r="F293" s="15"/>
      <c r="G293" s="15" t="str">
        <f>IFERROR(MAX(FILTRAR(Vendas!A:A,Vendas!B:B=B293)),"")</f>
        <v/>
      </c>
      <c r="H293" s="15" t="str">
        <f>IF(B293="","",SUMIF(Vendas!B:B,B293,Vendas!G:G))</f>
        <v/>
      </c>
      <c r="I293" s="15" t="str">
        <f>IF(B293="","",COUNTIF(Vendas!B:B,B293))</f>
        <v/>
      </c>
      <c r="J293" s="15">
        <f t="shared" si="2"/>
        <v>0</v>
      </c>
      <c r="K293" s="15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5" t="str">
        <f t="shared" si="1"/>
        <v>C294</v>
      </c>
      <c r="B294" s="15"/>
      <c r="C294" s="15"/>
      <c r="D294" s="15"/>
      <c r="E294" s="15"/>
      <c r="F294" s="15"/>
      <c r="G294" s="15" t="str">
        <f>IFERROR(MAX(FILTRAR(Vendas!A:A,Vendas!B:B=B294)),"")</f>
        <v/>
      </c>
      <c r="H294" s="15" t="str">
        <f>IF(B294="","",SUMIF(Vendas!B:B,B294,Vendas!G:G))</f>
        <v/>
      </c>
      <c r="I294" s="15" t="str">
        <f>IF(B294="","",COUNTIF(Vendas!B:B,B294))</f>
        <v/>
      </c>
      <c r="J294" s="15">
        <f t="shared" si="2"/>
        <v>0</v>
      </c>
      <c r="K294" s="15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5" t="str">
        <f t="shared" si="1"/>
        <v>C295</v>
      </c>
      <c r="B295" s="15"/>
      <c r="C295" s="15"/>
      <c r="D295" s="15"/>
      <c r="E295" s="15"/>
      <c r="F295" s="15"/>
      <c r="G295" s="15" t="str">
        <f>IFERROR(MAX(FILTRAR(Vendas!A:A,Vendas!B:B=B295)),"")</f>
        <v/>
      </c>
      <c r="H295" s="15" t="str">
        <f>IF(B295="","",SUMIF(Vendas!B:B,B295,Vendas!G:G))</f>
        <v/>
      </c>
      <c r="I295" s="15" t="str">
        <f>IF(B295="","",COUNTIF(Vendas!B:B,B295))</f>
        <v/>
      </c>
      <c r="J295" s="15">
        <f t="shared" si="2"/>
        <v>0</v>
      </c>
      <c r="K295" s="15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5" t="str">
        <f t="shared" si="1"/>
        <v>C296</v>
      </c>
      <c r="B296" s="15"/>
      <c r="C296" s="15"/>
      <c r="D296" s="15"/>
      <c r="E296" s="15"/>
      <c r="F296" s="15"/>
      <c r="G296" s="15" t="str">
        <f>IFERROR(MAX(FILTRAR(Vendas!A:A,Vendas!B:B=B296)),"")</f>
        <v/>
      </c>
      <c r="H296" s="15" t="str">
        <f>IF(B296="","",SUMIF(Vendas!B:B,B296,Vendas!G:G))</f>
        <v/>
      </c>
      <c r="I296" s="15" t="str">
        <f>IF(B296="","",COUNTIF(Vendas!B:B,B296))</f>
        <v/>
      </c>
      <c r="J296" s="15">
        <f t="shared" si="2"/>
        <v>0</v>
      </c>
      <c r="K296" s="15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5" t="str">
        <f t="shared" si="1"/>
        <v>C297</v>
      </c>
      <c r="B297" s="15"/>
      <c r="C297" s="15"/>
      <c r="D297" s="15"/>
      <c r="E297" s="15"/>
      <c r="F297" s="15"/>
      <c r="G297" s="15" t="str">
        <f>IFERROR(MAX(FILTRAR(Vendas!A:A,Vendas!B:B=B297)),"")</f>
        <v/>
      </c>
      <c r="H297" s="15" t="str">
        <f>IF(B297="","",SUMIF(Vendas!B:B,B297,Vendas!G:G))</f>
        <v/>
      </c>
      <c r="I297" s="15" t="str">
        <f>IF(B297="","",COUNTIF(Vendas!B:B,B297))</f>
        <v/>
      </c>
      <c r="J297" s="15">
        <f t="shared" si="2"/>
        <v>0</v>
      </c>
      <c r="K297" s="15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5" t="str">
        <f t="shared" si="1"/>
        <v>C298</v>
      </c>
      <c r="B298" s="15"/>
      <c r="C298" s="15"/>
      <c r="D298" s="15"/>
      <c r="E298" s="15"/>
      <c r="F298" s="15"/>
      <c r="G298" s="15" t="str">
        <f>IFERROR(MAX(FILTRAR(Vendas!A:A,Vendas!B:B=B298)),"")</f>
        <v/>
      </c>
      <c r="H298" s="15" t="str">
        <f>IF(B298="","",SUMIF(Vendas!B:B,B298,Vendas!G:G))</f>
        <v/>
      </c>
      <c r="I298" s="15" t="str">
        <f>IF(B298="","",COUNTIF(Vendas!B:B,B298))</f>
        <v/>
      </c>
      <c r="J298" s="15">
        <f t="shared" si="2"/>
        <v>0</v>
      </c>
      <c r="K298" s="15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5" t="str">
        <f t="shared" si="1"/>
        <v>C299</v>
      </c>
      <c r="B299" s="15"/>
      <c r="C299" s="15"/>
      <c r="D299" s="15"/>
      <c r="E299" s="15"/>
      <c r="F299" s="15"/>
      <c r="G299" s="15" t="str">
        <f>IFERROR(MAX(FILTRAR(Vendas!A:A,Vendas!B:B=B299)),"")</f>
        <v/>
      </c>
      <c r="H299" s="15" t="str">
        <f>IF(B299="","",SUMIF(Vendas!B:B,B299,Vendas!G:G))</f>
        <v/>
      </c>
      <c r="I299" s="15" t="str">
        <f>IF(B299="","",COUNTIF(Vendas!B:B,B299))</f>
        <v/>
      </c>
      <c r="J299" s="15">
        <f t="shared" si="2"/>
        <v>0</v>
      </c>
      <c r="K299" s="15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5" t="str">
        <f t="shared" si="1"/>
        <v>C300</v>
      </c>
      <c r="B300" s="15"/>
      <c r="C300" s="15"/>
      <c r="D300" s="15"/>
      <c r="E300" s="15"/>
      <c r="F300" s="15"/>
      <c r="G300" s="15" t="str">
        <f>IFERROR(MAX(FILTRAR(Vendas!A:A,Vendas!B:B=B300)),"")</f>
        <v/>
      </c>
      <c r="H300" s="15" t="str">
        <f>IF(B300="","",SUMIF(Vendas!B:B,B300,Vendas!G:G))</f>
        <v/>
      </c>
      <c r="I300" s="15" t="str">
        <f>IF(B300="","",COUNTIF(Vendas!B:B,B300))</f>
        <v/>
      </c>
      <c r="J300" s="15">
        <f t="shared" si="2"/>
        <v>0</v>
      </c>
      <c r="K300" s="15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5" t="str">
        <f t="shared" si="1"/>
        <v>C301</v>
      </c>
      <c r="B301" s="15"/>
      <c r="C301" s="15"/>
      <c r="D301" s="15"/>
      <c r="E301" s="15"/>
      <c r="F301" s="15"/>
      <c r="G301" s="15" t="str">
        <f>IFERROR(MAX(FILTRAR(Vendas!A:A,Vendas!B:B=B301)),"")</f>
        <v/>
      </c>
      <c r="H301" s="15" t="str">
        <f>IF(B301="","",SUMIF(Vendas!B:B,B301,Vendas!G:G))</f>
        <v/>
      </c>
      <c r="I301" s="15" t="str">
        <f>IF(B301="","",COUNTIF(Vendas!B:B,B301))</f>
        <v/>
      </c>
      <c r="J301" s="15">
        <f t="shared" si="2"/>
        <v>0</v>
      </c>
      <c r="K301" s="15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5" t="str">
        <f t="shared" si="1"/>
        <v>C302</v>
      </c>
      <c r="B302" s="15"/>
      <c r="C302" s="15"/>
      <c r="D302" s="15"/>
      <c r="E302" s="15"/>
      <c r="F302" s="15"/>
      <c r="G302" s="15" t="str">
        <f>IFERROR(MAX(FILTRAR(Vendas!A:A,Vendas!B:B=B302)),"")</f>
        <v/>
      </c>
      <c r="H302" s="15" t="str">
        <f>IF(B302="","",SUMIF(Vendas!B:B,B302,Vendas!G:G))</f>
        <v/>
      </c>
      <c r="I302" s="15" t="str">
        <f>IF(B302="","",COUNTIF(Vendas!B:B,B302))</f>
        <v/>
      </c>
      <c r="J302" s="15">
        <f t="shared" si="2"/>
        <v>0</v>
      </c>
      <c r="K302" s="15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5" t="str">
        <f t="shared" si="1"/>
        <v>C303</v>
      </c>
      <c r="B303" s="15"/>
      <c r="C303" s="15"/>
      <c r="D303" s="15"/>
      <c r="E303" s="15"/>
      <c r="F303" s="15"/>
      <c r="G303" s="15" t="str">
        <f>IFERROR(MAX(FILTRAR(Vendas!A:A,Vendas!B:B=B303)),"")</f>
        <v/>
      </c>
      <c r="H303" s="15" t="str">
        <f>IF(B303="","",SUMIF(Vendas!B:B,B303,Vendas!G:G))</f>
        <v/>
      </c>
      <c r="I303" s="15" t="str">
        <f>IF(B303="","",COUNTIF(Vendas!B:B,B303))</f>
        <v/>
      </c>
      <c r="J303" s="15">
        <f t="shared" si="2"/>
        <v>0</v>
      </c>
      <c r="K303" s="15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5" t="str">
        <f t="shared" si="1"/>
        <v>C304</v>
      </c>
      <c r="B304" s="15"/>
      <c r="C304" s="15"/>
      <c r="D304" s="15"/>
      <c r="E304" s="15"/>
      <c r="F304" s="15"/>
      <c r="G304" s="15" t="str">
        <f>IFERROR(MAX(FILTRAR(Vendas!A:A,Vendas!B:B=B304)),"")</f>
        <v/>
      </c>
      <c r="H304" s="15" t="str">
        <f>IF(B304="","",SUMIF(Vendas!B:B,B304,Vendas!G:G))</f>
        <v/>
      </c>
      <c r="I304" s="15" t="str">
        <f>IF(B304="","",COUNTIF(Vendas!B:B,B304))</f>
        <v/>
      </c>
      <c r="J304" s="15">
        <f t="shared" si="2"/>
        <v>0</v>
      </c>
      <c r="K304" s="15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5" t="str">
        <f t="shared" si="1"/>
        <v>C305</v>
      </c>
      <c r="B305" s="15"/>
      <c r="C305" s="15"/>
      <c r="D305" s="15"/>
      <c r="E305" s="15"/>
      <c r="F305" s="15"/>
      <c r="G305" s="15" t="str">
        <f>IFERROR(MAX(FILTRAR(Vendas!A:A,Vendas!B:B=B305)),"")</f>
        <v/>
      </c>
      <c r="H305" s="15" t="str">
        <f>IF(B305="","",SUMIF(Vendas!B:B,B305,Vendas!G:G))</f>
        <v/>
      </c>
      <c r="I305" s="15" t="str">
        <f>IF(B305="","",COUNTIF(Vendas!B:B,B305))</f>
        <v/>
      </c>
      <c r="J305" s="15">
        <f t="shared" si="2"/>
        <v>0</v>
      </c>
      <c r="K305" s="15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5" t="str">
        <f t="shared" si="1"/>
        <v>C306</v>
      </c>
      <c r="B306" s="15"/>
      <c r="C306" s="15"/>
      <c r="D306" s="15"/>
      <c r="E306" s="15"/>
      <c r="F306" s="15"/>
      <c r="G306" s="15" t="str">
        <f>IFERROR(MAX(FILTRAR(Vendas!A:A,Vendas!B:B=B306)),"")</f>
        <v/>
      </c>
      <c r="H306" s="15" t="str">
        <f>IF(B306="","",SUMIF(Vendas!B:B,B306,Vendas!G:G))</f>
        <v/>
      </c>
      <c r="I306" s="15" t="str">
        <f>IF(B306="","",COUNTIF(Vendas!B:B,B306))</f>
        <v/>
      </c>
      <c r="J306" s="15">
        <f t="shared" si="2"/>
        <v>0</v>
      </c>
      <c r="K306" s="15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5" t="str">
        <f t="shared" si="1"/>
        <v>C307</v>
      </c>
      <c r="B307" s="15"/>
      <c r="C307" s="15"/>
      <c r="D307" s="15"/>
      <c r="E307" s="15"/>
      <c r="F307" s="15"/>
      <c r="G307" s="15" t="str">
        <f>IFERROR(MAX(FILTRAR(Vendas!A:A,Vendas!B:B=B307)),"")</f>
        <v/>
      </c>
      <c r="H307" s="15" t="str">
        <f>IF(B307="","",SUMIF(Vendas!B:B,B307,Vendas!G:G))</f>
        <v/>
      </c>
      <c r="I307" s="15" t="str">
        <f>IF(B307="","",COUNTIF(Vendas!B:B,B307))</f>
        <v/>
      </c>
      <c r="J307" s="15">
        <f t="shared" si="2"/>
        <v>0</v>
      </c>
      <c r="K307" s="15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5" t="str">
        <f t="shared" si="1"/>
        <v>C308</v>
      </c>
      <c r="B308" s="15"/>
      <c r="C308" s="15"/>
      <c r="D308" s="15"/>
      <c r="E308" s="15"/>
      <c r="F308" s="15"/>
      <c r="G308" s="15" t="str">
        <f>IFERROR(MAX(FILTRAR(Vendas!A:A,Vendas!B:B=B308)),"")</f>
        <v/>
      </c>
      <c r="H308" s="15" t="str">
        <f>IF(B308="","",SUMIF(Vendas!B:B,B308,Vendas!G:G))</f>
        <v/>
      </c>
      <c r="I308" s="15" t="str">
        <f>IF(B308="","",COUNTIF(Vendas!B:B,B308))</f>
        <v/>
      </c>
      <c r="J308" s="15">
        <f t="shared" si="2"/>
        <v>0</v>
      </c>
      <c r="K308" s="15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5" t="str">
        <f t="shared" si="1"/>
        <v>C309</v>
      </c>
      <c r="B309" s="15"/>
      <c r="C309" s="15"/>
      <c r="D309" s="15"/>
      <c r="E309" s="15"/>
      <c r="F309" s="15"/>
      <c r="G309" s="15" t="str">
        <f>IFERROR(MAX(FILTRAR(Vendas!A:A,Vendas!B:B=B309)),"")</f>
        <v/>
      </c>
      <c r="H309" s="15" t="str">
        <f>IF(B309="","",SUMIF(Vendas!B:B,B309,Vendas!G:G))</f>
        <v/>
      </c>
      <c r="I309" s="15" t="str">
        <f>IF(B309="","",COUNTIF(Vendas!B:B,B309))</f>
        <v/>
      </c>
      <c r="J309" s="15">
        <f t="shared" si="2"/>
        <v>0</v>
      </c>
      <c r="K309" s="15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5" t="str">
        <f t="shared" si="1"/>
        <v>C310</v>
      </c>
      <c r="B310" s="15"/>
      <c r="C310" s="15"/>
      <c r="D310" s="15"/>
      <c r="E310" s="15"/>
      <c r="F310" s="15"/>
      <c r="G310" s="15" t="str">
        <f>IFERROR(MAX(FILTRAR(Vendas!A:A,Vendas!B:B=B310)),"")</f>
        <v/>
      </c>
      <c r="H310" s="15" t="str">
        <f>IF(B310="","",SUMIF(Vendas!B:B,B310,Vendas!G:G))</f>
        <v/>
      </c>
      <c r="I310" s="15" t="str">
        <f>IF(B310="","",COUNTIF(Vendas!B:B,B310))</f>
        <v/>
      </c>
      <c r="J310" s="15">
        <f t="shared" si="2"/>
        <v>0</v>
      </c>
      <c r="K310" s="15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5" t="str">
        <f t="shared" si="1"/>
        <v>C311</v>
      </c>
      <c r="B311" s="15"/>
      <c r="C311" s="15"/>
      <c r="D311" s="15"/>
      <c r="E311" s="15"/>
      <c r="F311" s="15"/>
      <c r="G311" s="15" t="str">
        <f>IFERROR(MAX(FILTRAR(Vendas!A:A,Vendas!B:B=B311)),"")</f>
        <v/>
      </c>
      <c r="H311" s="15" t="str">
        <f>IF(B311="","",SUMIF(Vendas!B:B,B311,Vendas!G:G))</f>
        <v/>
      </c>
      <c r="I311" s="15" t="str">
        <f>IF(B311="","",COUNTIF(Vendas!B:B,B311))</f>
        <v/>
      </c>
      <c r="J311" s="15">
        <f t="shared" si="2"/>
        <v>0</v>
      </c>
      <c r="K311" s="15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5" t="str">
        <f t="shared" si="1"/>
        <v>C312</v>
      </c>
      <c r="B312" s="15"/>
      <c r="C312" s="15"/>
      <c r="D312" s="15"/>
      <c r="E312" s="15"/>
      <c r="F312" s="15"/>
      <c r="G312" s="15" t="str">
        <f>IFERROR(MAX(FILTRAR(Vendas!A:A,Vendas!B:B=B312)),"")</f>
        <v/>
      </c>
      <c r="H312" s="15" t="str">
        <f>IF(B312="","",SUMIF(Vendas!B:B,B312,Vendas!G:G))</f>
        <v/>
      </c>
      <c r="I312" s="15" t="str">
        <f>IF(B312="","",COUNTIF(Vendas!B:B,B312))</f>
        <v/>
      </c>
      <c r="J312" s="15">
        <f t="shared" si="2"/>
        <v>0</v>
      </c>
      <c r="K312" s="15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5" t="str">
        <f t="shared" si="1"/>
        <v>C313</v>
      </c>
      <c r="B313" s="15"/>
      <c r="C313" s="15"/>
      <c r="D313" s="15"/>
      <c r="E313" s="15"/>
      <c r="F313" s="15"/>
      <c r="G313" s="15" t="str">
        <f>IFERROR(MAX(FILTRAR(Vendas!A:A,Vendas!B:B=B313)),"")</f>
        <v/>
      </c>
      <c r="H313" s="15" t="str">
        <f>IF(B313="","",SUMIF(Vendas!B:B,B313,Vendas!G:G))</f>
        <v/>
      </c>
      <c r="I313" s="15" t="str">
        <f>IF(B313="","",COUNTIF(Vendas!B:B,B313))</f>
        <v/>
      </c>
      <c r="J313" s="15">
        <f t="shared" si="2"/>
        <v>0</v>
      </c>
      <c r="K313" s="15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5" t="str">
        <f t="shared" si="1"/>
        <v>C314</v>
      </c>
      <c r="B314" s="15"/>
      <c r="C314" s="15"/>
      <c r="D314" s="15"/>
      <c r="E314" s="15"/>
      <c r="F314" s="15"/>
      <c r="G314" s="15" t="str">
        <f>IFERROR(MAX(FILTRAR(Vendas!A:A,Vendas!B:B=B314)),"")</f>
        <v/>
      </c>
      <c r="H314" s="15" t="str">
        <f>IF(B314="","",SUMIF(Vendas!B:B,B314,Vendas!G:G))</f>
        <v/>
      </c>
      <c r="I314" s="15" t="str">
        <f>IF(B314="","",COUNTIF(Vendas!B:B,B314))</f>
        <v/>
      </c>
      <c r="J314" s="15">
        <f t="shared" si="2"/>
        <v>0</v>
      </c>
      <c r="K314" s="15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5" t="str">
        <f t="shared" si="1"/>
        <v>C315</v>
      </c>
      <c r="B315" s="15"/>
      <c r="C315" s="15"/>
      <c r="D315" s="15"/>
      <c r="E315" s="15"/>
      <c r="F315" s="15"/>
      <c r="G315" s="15" t="str">
        <f>IFERROR(MAX(FILTRAR(Vendas!A:A,Vendas!B:B=B315)),"")</f>
        <v/>
      </c>
      <c r="H315" s="15" t="str">
        <f>IF(B315="","",SUMIF(Vendas!B:B,B315,Vendas!G:G))</f>
        <v/>
      </c>
      <c r="I315" s="15" t="str">
        <f>IF(B315="","",COUNTIF(Vendas!B:B,B315))</f>
        <v/>
      </c>
      <c r="J315" s="15">
        <f t="shared" si="2"/>
        <v>0</v>
      </c>
      <c r="K315" s="15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5" t="str">
        <f t="shared" si="1"/>
        <v>C316</v>
      </c>
      <c r="B316" s="15"/>
      <c r="C316" s="15"/>
      <c r="D316" s="15"/>
      <c r="E316" s="15"/>
      <c r="F316" s="15"/>
      <c r="G316" s="15" t="str">
        <f>IFERROR(MAX(FILTRAR(Vendas!A:A,Vendas!B:B=B316)),"")</f>
        <v/>
      </c>
      <c r="H316" s="15" t="str">
        <f>IF(B316="","",SUMIF(Vendas!B:B,B316,Vendas!G:G))</f>
        <v/>
      </c>
      <c r="I316" s="15" t="str">
        <f>IF(B316="","",COUNTIF(Vendas!B:B,B316))</f>
        <v/>
      </c>
      <c r="J316" s="15">
        <f t="shared" si="2"/>
        <v>0</v>
      </c>
      <c r="K316" s="15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5" t="str">
        <f t="shared" si="1"/>
        <v>C317</v>
      </c>
      <c r="B317" s="15"/>
      <c r="C317" s="15"/>
      <c r="D317" s="15"/>
      <c r="E317" s="15"/>
      <c r="F317" s="15"/>
      <c r="G317" s="15" t="str">
        <f>IFERROR(MAX(FILTRAR(Vendas!A:A,Vendas!B:B=B317)),"")</f>
        <v/>
      </c>
      <c r="H317" s="15" t="str">
        <f>IF(B317="","",SUMIF(Vendas!B:B,B317,Vendas!G:G))</f>
        <v/>
      </c>
      <c r="I317" s="15" t="str">
        <f>IF(B317="","",COUNTIF(Vendas!B:B,B317))</f>
        <v/>
      </c>
      <c r="J317" s="15">
        <f t="shared" si="2"/>
        <v>0</v>
      </c>
      <c r="K317" s="15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5" t="str">
        <f t="shared" si="1"/>
        <v>C318</v>
      </c>
      <c r="B318" s="15"/>
      <c r="C318" s="15"/>
      <c r="D318" s="15"/>
      <c r="E318" s="15"/>
      <c r="F318" s="15"/>
      <c r="G318" s="15" t="str">
        <f>IFERROR(MAX(FILTRAR(Vendas!A:A,Vendas!B:B=B318)),"")</f>
        <v/>
      </c>
      <c r="H318" s="15" t="str">
        <f>IF(B318="","",SUMIF(Vendas!B:B,B318,Vendas!G:G))</f>
        <v/>
      </c>
      <c r="I318" s="15" t="str">
        <f>IF(B318="","",COUNTIF(Vendas!B:B,B318))</f>
        <v/>
      </c>
      <c r="J318" s="15">
        <f t="shared" si="2"/>
        <v>0</v>
      </c>
      <c r="K318" s="15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5" t="str">
        <f t="shared" si="1"/>
        <v>C319</v>
      </c>
      <c r="B319" s="15"/>
      <c r="C319" s="15"/>
      <c r="D319" s="15"/>
      <c r="E319" s="15"/>
      <c r="F319" s="15"/>
      <c r="G319" s="15" t="str">
        <f>IFERROR(MAX(FILTRAR(Vendas!A:A,Vendas!B:B=B319)),"")</f>
        <v/>
      </c>
      <c r="H319" s="15" t="str">
        <f>IF(B319="","",SUMIF(Vendas!B:B,B319,Vendas!G:G))</f>
        <v/>
      </c>
      <c r="I319" s="15" t="str">
        <f>IF(B319="","",COUNTIF(Vendas!B:B,B319))</f>
        <v/>
      </c>
      <c r="J319" s="15">
        <f t="shared" si="2"/>
        <v>0</v>
      </c>
      <c r="K319" s="15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5" t="str">
        <f t="shared" si="1"/>
        <v>C320</v>
      </c>
      <c r="B320" s="15"/>
      <c r="C320" s="15"/>
      <c r="D320" s="15"/>
      <c r="E320" s="15"/>
      <c r="F320" s="15"/>
      <c r="G320" s="15" t="str">
        <f>IFERROR(MAX(FILTRAR(Vendas!A:A,Vendas!B:B=B320)),"")</f>
        <v/>
      </c>
      <c r="H320" s="15" t="str">
        <f>IF(B320="","",SUMIF(Vendas!B:B,B320,Vendas!G:G))</f>
        <v/>
      </c>
      <c r="I320" s="15" t="str">
        <f>IF(B320="","",COUNTIF(Vendas!B:B,B320))</f>
        <v/>
      </c>
      <c r="J320" s="15">
        <f t="shared" si="2"/>
        <v>0</v>
      </c>
      <c r="K320" s="15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5" t="str">
        <f t="shared" si="1"/>
        <v>C321</v>
      </c>
      <c r="B321" s="15"/>
      <c r="C321" s="15"/>
      <c r="D321" s="15"/>
      <c r="E321" s="15"/>
      <c r="F321" s="15"/>
      <c r="G321" s="15" t="str">
        <f>IFERROR(MAX(FILTRAR(Vendas!A:A,Vendas!B:B=B321)),"")</f>
        <v/>
      </c>
      <c r="H321" s="15" t="str">
        <f>IF(B321="","",SUMIF(Vendas!B:B,B321,Vendas!G:G))</f>
        <v/>
      </c>
      <c r="I321" s="15" t="str">
        <f>IF(B321="","",COUNTIF(Vendas!B:B,B321))</f>
        <v/>
      </c>
      <c r="J321" s="15">
        <f t="shared" si="2"/>
        <v>0</v>
      </c>
      <c r="K321" s="15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5" t="str">
        <f t="shared" si="1"/>
        <v>C322</v>
      </c>
      <c r="B322" s="15"/>
      <c r="C322" s="15"/>
      <c r="D322" s="15"/>
      <c r="E322" s="15"/>
      <c r="F322" s="15"/>
      <c r="G322" s="15" t="str">
        <f>IFERROR(MAX(FILTRAR(Vendas!A:A,Vendas!B:B=B322)),"")</f>
        <v/>
      </c>
      <c r="H322" s="15" t="str">
        <f>IF(B322="","",SUMIF(Vendas!B:B,B322,Vendas!G:G))</f>
        <v/>
      </c>
      <c r="I322" s="15" t="str">
        <f>IF(B322="","",COUNTIF(Vendas!B:B,B322))</f>
        <v/>
      </c>
      <c r="J322" s="15">
        <f t="shared" si="2"/>
        <v>0</v>
      </c>
      <c r="K322" s="15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5" t="str">
        <f t="shared" si="1"/>
        <v>C323</v>
      </c>
      <c r="B323" s="15"/>
      <c r="C323" s="15"/>
      <c r="D323" s="15"/>
      <c r="E323" s="15"/>
      <c r="F323" s="15"/>
      <c r="G323" s="15" t="str">
        <f>IFERROR(MAX(FILTRAR(Vendas!A:A,Vendas!B:B=B323)),"")</f>
        <v/>
      </c>
      <c r="H323" s="15" t="str">
        <f>IF(B323="","",SUMIF(Vendas!B:B,B323,Vendas!G:G))</f>
        <v/>
      </c>
      <c r="I323" s="15" t="str">
        <f>IF(B323="","",COUNTIF(Vendas!B:B,B323))</f>
        <v/>
      </c>
      <c r="J323" s="15">
        <f t="shared" si="2"/>
        <v>0</v>
      </c>
      <c r="K323" s="15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5" t="str">
        <f t="shared" si="1"/>
        <v>C324</v>
      </c>
      <c r="B324" s="15"/>
      <c r="C324" s="15"/>
      <c r="D324" s="15"/>
      <c r="E324" s="15"/>
      <c r="F324" s="15"/>
      <c r="G324" s="15" t="str">
        <f>IFERROR(MAX(FILTRAR(Vendas!A:A,Vendas!B:B=B324)),"")</f>
        <v/>
      </c>
      <c r="H324" s="15" t="str">
        <f>IF(B324="","",SUMIF(Vendas!B:B,B324,Vendas!G:G))</f>
        <v/>
      </c>
      <c r="I324" s="15" t="str">
        <f>IF(B324="","",COUNTIF(Vendas!B:B,B324))</f>
        <v/>
      </c>
      <c r="J324" s="15">
        <f t="shared" si="2"/>
        <v>0</v>
      </c>
      <c r="K324" s="15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5" t="str">
        <f t="shared" si="1"/>
        <v>C325</v>
      </c>
      <c r="B325" s="15"/>
      <c r="C325" s="15"/>
      <c r="D325" s="15"/>
      <c r="E325" s="15"/>
      <c r="F325" s="15"/>
      <c r="G325" s="15" t="str">
        <f>IFERROR(MAX(FILTRAR(Vendas!A:A,Vendas!B:B=B325)),"")</f>
        <v/>
      </c>
      <c r="H325" s="15" t="str">
        <f>IF(B325="","",SUMIF(Vendas!B:B,B325,Vendas!G:G))</f>
        <v/>
      </c>
      <c r="I325" s="15" t="str">
        <f>IF(B325="","",COUNTIF(Vendas!B:B,B325))</f>
        <v/>
      </c>
      <c r="J325" s="15">
        <f t="shared" si="2"/>
        <v>0</v>
      </c>
      <c r="K325" s="15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5" t="str">
        <f t="shared" si="1"/>
        <v>C326</v>
      </c>
      <c r="B326" s="15"/>
      <c r="C326" s="15"/>
      <c r="D326" s="15"/>
      <c r="E326" s="15"/>
      <c r="F326" s="15"/>
      <c r="G326" s="15" t="str">
        <f>IFERROR(MAX(FILTRAR(Vendas!A:A,Vendas!B:B=B326)),"")</f>
        <v/>
      </c>
      <c r="H326" s="15" t="str">
        <f>IF(B326="","",SUMIF(Vendas!B:B,B326,Vendas!G:G))</f>
        <v/>
      </c>
      <c r="I326" s="15" t="str">
        <f>IF(B326="","",COUNTIF(Vendas!B:B,B326))</f>
        <v/>
      </c>
      <c r="J326" s="15">
        <f t="shared" si="2"/>
        <v>0</v>
      </c>
      <c r="K326" s="15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5" t="str">
        <f t="shared" si="1"/>
        <v>C327</v>
      </c>
      <c r="B327" s="15"/>
      <c r="C327" s="15"/>
      <c r="D327" s="15"/>
      <c r="E327" s="15"/>
      <c r="F327" s="15"/>
      <c r="G327" s="15" t="str">
        <f>IFERROR(MAX(FILTRAR(Vendas!A:A,Vendas!B:B=B327)),"")</f>
        <v/>
      </c>
      <c r="H327" s="15" t="str">
        <f>IF(B327="","",SUMIF(Vendas!B:B,B327,Vendas!G:G))</f>
        <v/>
      </c>
      <c r="I327" s="15" t="str">
        <f>IF(B327="","",COUNTIF(Vendas!B:B,B327))</f>
        <v/>
      </c>
      <c r="J327" s="15">
        <f t="shared" si="2"/>
        <v>0</v>
      </c>
      <c r="K327" s="15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5" t="str">
        <f t="shared" si="1"/>
        <v>C328</v>
      </c>
      <c r="B328" s="15"/>
      <c r="C328" s="15"/>
      <c r="D328" s="15"/>
      <c r="E328" s="15"/>
      <c r="F328" s="15"/>
      <c r="G328" s="15" t="str">
        <f>IFERROR(MAX(FILTRAR(Vendas!A:A,Vendas!B:B=B328)),"")</f>
        <v/>
      </c>
      <c r="H328" s="15" t="str">
        <f>IF(B328="","",SUMIF(Vendas!B:B,B328,Vendas!G:G))</f>
        <v/>
      </c>
      <c r="I328" s="15" t="str">
        <f>IF(B328="","",COUNTIF(Vendas!B:B,B328))</f>
        <v/>
      </c>
      <c r="J328" s="15">
        <f t="shared" si="2"/>
        <v>0</v>
      </c>
      <c r="K328" s="15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5" t="str">
        <f t="shared" si="1"/>
        <v>C329</v>
      </c>
      <c r="B329" s="15"/>
      <c r="C329" s="15"/>
      <c r="D329" s="15"/>
      <c r="E329" s="15"/>
      <c r="F329" s="15"/>
      <c r="G329" s="15" t="str">
        <f>IFERROR(MAX(FILTRAR(Vendas!A:A,Vendas!B:B=B329)),"")</f>
        <v/>
      </c>
      <c r="H329" s="15" t="str">
        <f>IF(B329="","",SUMIF(Vendas!B:B,B329,Vendas!G:G))</f>
        <v/>
      </c>
      <c r="I329" s="15" t="str">
        <f>IF(B329="","",COUNTIF(Vendas!B:B,B329))</f>
        <v/>
      </c>
      <c r="J329" s="15">
        <f t="shared" si="2"/>
        <v>0</v>
      </c>
      <c r="K329" s="15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5" t="str">
        <f t="shared" si="1"/>
        <v>C330</v>
      </c>
      <c r="B330" s="15"/>
      <c r="C330" s="15"/>
      <c r="D330" s="15"/>
      <c r="E330" s="15"/>
      <c r="F330" s="15"/>
      <c r="G330" s="15" t="str">
        <f>IFERROR(MAX(FILTRAR(Vendas!A:A,Vendas!B:B=B330)),"")</f>
        <v/>
      </c>
      <c r="H330" s="15" t="str">
        <f>IF(B330="","",SUMIF(Vendas!B:B,B330,Vendas!G:G))</f>
        <v/>
      </c>
      <c r="I330" s="15" t="str">
        <f>IF(B330="","",COUNTIF(Vendas!B:B,B330))</f>
        <v/>
      </c>
      <c r="J330" s="15">
        <f t="shared" si="2"/>
        <v>0</v>
      </c>
      <c r="K330" s="15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5" t="str">
        <f t="shared" si="1"/>
        <v>C331</v>
      </c>
      <c r="B331" s="15"/>
      <c r="C331" s="15"/>
      <c r="D331" s="15"/>
      <c r="E331" s="15"/>
      <c r="F331" s="15"/>
      <c r="G331" s="15" t="str">
        <f>IFERROR(MAX(FILTRAR(Vendas!A:A,Vendas!B:B=B331)),"")</f>
        <v/>
      </c>
      <c r="H331" s="15" t="str">
        <f>IF(B331="","",SUMIF(Vendas!B:B,B331,Vendas!G:G))</f>
        <v/>
      </c>
      <c r="I331" s="15" t="str">
        <f>IF(B331="","",COUNTIF(Vendas!B:B,B331))</f>
        <v/>
      </c>
      <c r="J331" s="15">
        <f t="shared" si="2"/>
        <v>0</v>
      </c>
      <c r="K331" s="15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5" t="str">
        <f t="shared" si="1"/>
        <v>C332</v>
      </c>
      <c r="B332" s="15"/>
      <c r="C332" s="15"/>
      <c r="D332" s="15"/>
      <c r="E332" s="15"/>
      <c r="F332" s="15"/>
      <c r="G332" s="15" t="str">
        <f>IFERROR(MAX(FILTRAR(Vendas!A:A,Vendas!B:B=B332)),"")</f>
        <v/>
      </c>
      <c r="H332" s="15" t="str">
        <f>IF(B332="","",SUMIF(Vendas!B:B,B332,Vendas!G:G))</f>
        <v/>
      </c>
      <c r="I332" s="15" t="str">
        <f>IF(B332="","",COUNTIF(Vendas!B:B,B332))</f>
        <v/>
      </c>
      <c r="J332" s="15">
        <f t="shared" si="2"/>
        <v>0</v>
      </c>
      <c r="K332" s="15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5" t="str">
        <f t="shared" si="1"/>
        <v>C333</v>
      </c>
      <c r="B333" s="15"/>
      <c r="C333" s="15"/>
      <c r="D333" s="15"/>
      <c r="E333" s="15"/>
      <c r="F333" s="15"/>
      <c r="G333" s="15" t="str">
        <f>IFERROR(MAX(FILTRAR(Vendas!A:A,Vendas!B:B=B333)),"")</f>
        <v/>
      </c>
      <c r="H333" s="15" t="str">
        <f>IF(B333="","",SUMIF(Vendas!B:B,B333,Vendas!G:G))</f>
        <v/>
      </c>
      <c r="I333" s="15" t="str">
        <f>IF(B333="","",COUNTIF(Vendas!B:B,B333))</f>
        <v/>
      </c>
      <c r="J333" s="15">
        <f t="shared" si="2"/>
        <v>0</v>
      </c>
      <c r="K333" s="15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5" t="str">
        <f t="shared" si="1"/>
        <v>C334</v>
      </c>
      <c r="B334" s="15"/>
      <c r="C334" s="15"/>
      <c r="D334" s="15"/>
      <c r="E334" s="15"/>
      <c r="F334" s="15"/>
      <c r="G334" s="15" t="str">
        <f>IFERROR(MAX(FILTRAR(Vendas!A:A,Vendas!B:B=B334)),"")</f>
        <v/>
      </c>
      <c r="H334" s="15" t="str">
        <f>IF(B334="","",SUMIF(Vendas!B:B,B334,Vendas!G:G))</f>
        <v/>
      </c>
      <c r="I334" s="15" t="str">
        <f>IF(B334="","",COUNTIF(Vendas!B:B,B334))</f>
        <v/>
      </c>
      <c r="J334" s="15">
        <f t="shared" si="2"/>
        <v>0</v>
      </c>
      <c r="K334" s="15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5" t="str">
        <f t="shared" si="1"/>
        <v>C335</v>
      </c>
      <c r="B335" s="15"/>
      <c r="C335" s="15"/>
      <c r="D335" s="15"/>
      <c r="E335" s="15"/>
      <c r="F335" s="15"/>
      <c r="G335" s="15" t="str">
        <f>IFERROR(MAX(FILTRAR(Vendas!A:A,Vendas!B:B=B335)),"")</f>
        <v/>
      </c>
      <c r="H335" s="15" t="str">
        <f>IF(B335="","",SUMIF(Vendas!B:B,B335,Vendas!G:G))</f>
        <v/>
      </c>
      <c r="I335" s="15" t="str">
        <f>IF(B335="","",COUNTIF(Vendas!B:B,B335))</f>
        <v/>
      </c>
      <c r="J335" s="15">
        <f t="shared" si="2"/>
        <v>0</v>
      </c>
      <c r="K335" s="15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5" t="str">
        <f t="shared" si="1"/>
        <v>C336</v>
      </c>
      <c r="B336" s="15"/>
      <c r="C336" s="15"/>
      <c r="D336" s="15"/>
      <c r="E336" s="15"/>
      <c r="F336" s="15"/>
      <c r="G336" s="15" t="str">
        <f>IFERROR(MAX(FILTRAR(Vendas!A:A,Vendas!B:B=B336)),"")</f>
        <v/>
      </c>
      <c r="H336" s="15" t="str">
        <f>IF(B336="","",SUMIF(Vendas!B:B,B336,Vendas!G:G))</f>
        <v/>
      </c>
      <c r="I336" s="15" t="str">
        <f>IF(B336="","",COUNTIF(Vendas!B:B,B336))</f>
        <v/>
      </c>
      <c r="J336" s="15">
        <f t="shared" si="2"/>
        <v>0</v>
      </c>
      <c r="K336" s="15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5" t="str">
        <f t="shared" si="1"/>
        <v>C337</v>
      </c>
      <c r="B337" s="15"/>
      <c r="C337" s="15"/>
      <c r="D337" s="15"/>
      <c r="E337" s="15"/>
      <c r="F337" s="15"/>
      <c r="G337" s="15" t="str">
        <f>IFERROR(MAX(FILTRAR(Vendas!A:A,Vendas!B:B=B337)),"")</f>
        <v/>
      </c>
      <c r="H337" s="15" t="str">
        <f>IF(B337="","",SUMIF(Vendas!B:B,B337,Vendas!G:G))</f>
        <v/>
      </c>
      <c r="I337" s="15" t="str">
        <f>IF(B337="","",COUNTIF(Vendas!B:B,B337))</f>
        <v/>
      </c>
      <c r="J337" s="15">
        <f t="shared" si="2"/>
        <v>0</v>
      </c>
      <c r="K337" s="15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5" t="str">
        <f t="shared" si="1"/>
        <v>C338</v>
      </c>
      <c r="B338" s="15"/>
      <c r="C338" s="15"/>
      <c r="D338" s="15"/>
      <c r="E338" s="15"/>
      <c r="F338" s="15"/>
      <c r="G338" s="15" t="str">
        <f>IFERROR(MAX(FILTRAR(Vendas!A:A,Vendas!B:B=B338)),"")</f>
        <v/>
      </c>
      <c r="H338" s="15" t="str">
        <f>IF(B338="","",SUMIF(Vendas!B:B,B338,Vendas!G:G))</f>
        <v/>
      </c>
      <c r="I338" s="15" t="str">
        <f>IF(B338="","",COUNTIF(Vendas!B:B,B338))</f>
        <v/>
      </c>
      <c r="J338" s="15">
        <f t="shared" si="2"/>
        <v>0</v>
      </c>
      <c r="K338" s="15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5" t="str">
        <f t="shared" si="1"/>
        <v>C339</v>
      </c>
      <c r="B339" s="15"/>
      <c r="C339" s="15"/>
      <c r="D339" s="15"/>
      <c r="E339" s="15"/>
      <c r="F339" s="15"/>
      <c r="G339" s="15" t="str">
        <f>IFERROR(MAX(FILTRAR(Vendas!A:A,Vendas!B:B=B339)),"")</f>
        <v/>
      </c>
      <c r="H339" s="15" t="str">
        <f>IF(B339="","",SUMIF(Vendas!B:B,B339,Vendas!G:G))</f>
        <v/>
      </c>
      <c r="I339" s="15" t="str">
        <f>IF(B339="","",COUNTIF(Vendas!B:B,B339))</f>
        <v/>
      </c>
      <c r="J339" s="15">
        <f t="shared" si="2"/>
        <v>0</v>
      </c>
      <c r="K339" s="15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5" t="str">
        <f t="shared" si="1"/>
        <v>C340</v>
      </c>
      <c r="B340" s="15"/>
      <c r="C340" s="15"/>
      <c r="D340" s="15"/>
      <c r="E340" s="15"/>
      <c r="F340" s="15"/>
      <c r="G340" s="15" t="str">
        <f>IFERROR(MAX(FILTRAR(Vendas!A:A,Vendas!B:B=B340)),"")</f>
        <v/>
      </c>
      <c r="H340" s="15" t="str">
        <f>IF(B340="","",SUMIF(Vendas!B:B,B340,Vendas!G:G))</f>
        <v/>
      </c>
      <c r="I340" s="15" t="str">
        <f>IF(B340="","",COUNTIF(Vendas!B:B,B340))</f>
        <v/>
      </c>
      <c r="J340" s="15">
        <f t="shared" si="2"/>
        <v>0</v>
      </c>
      <c r="K340" s="15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5" t="str">
        <f t="shared" si="1"/>
        <v>C341</v>
      </c>
      <c r="B341" s="15"/>
      <c r="C341" s="15"/>
      <c r="D341" s="15"/>
      <c r="E341" s="15"/>
      <c r="F341" s="15"/>
      <c r="G341" s="15" t="str">
        <f>IFERROR(MAX(FILTRAR(Vendas!A:A,Vendas!B:B=B341)),"")</f>
        <v/>
      </c>
      <c r="H341" s="15" t="str">
        <f>IF(B341="","",SUMIF(Vendas!B:B,B341,Vendas!G:G))</f>
        <v/>
      </c>
      <c r="I341" s="15" t="str">
        <f>IF(B341="","",COUNTIF(Vendas!B:B,B341))</f>
        <v/>
      </c>
      <c r="J341" s="15">
        <f t="shared" si="2"/>
        <v>0</v>
      </c>
      <c r="K341" s="15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5" t="str">
        <f t="shared" si="1"/>
        <v>C342</v>
      </c>
      <c r="B342" s="15"/>
      <c r="C342" s="15"/>
      <c r="D342" s="15"/>
      <c r="E342" s="15"/>
      <c r="F342" s="15"/>
      <c r="G342" s="15" t="str">
        <f>IFERROR(MAX(FILTRAR(Vendas!A:A,Vendas!B:B=B342)),"")</f>
        <v/>
      </c>
      <c r="H342" s="15" t="str">
        <f>IF(B342="","",SUMIF(Vendas!B:B,B342,Vendas!G:G))</f>
        <v/>
      </c>
      <c r="I342" s="15" t="str">
        <f>IF(B342="","",COUNTIF(Vendas!B:B,B342))</f>
        <v/>
      </c>
      <c r="J342" s="15">
        <f t="shared" si="2"/>
        <v>0</v>
      </c>
      <c r="K342" s="15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5" t="str">
        <f t="shared" si="1"/>
        <v>C343</v>
      </c>
      <c r="B343" s="15"/>
      <c r="C343" s="15"/>
      <c r="D343" s="15"/>
      <c r="E343" s="15"/>
      <c r="F343" s="15"/>
      <c r="G343" s="15" t="str">
        <f>IFERROR(MAX(FILTRAR(Vendas!A:A,Vendas!B:B=B343)),"")</f>
        <v/>
      </c>
      <c r="H343" s="15" t="str">
        <f>IF(B343="","",SUMIF(Vendas!B:B,B343,Vendas!G:G))</f>
        <v/>
      </c>
      <c r="I343" s="15" t="str">
        <f>IF(B343="","",COUNTIF(Vendas!B:B,B343))</f>
        <v/>
      </c>
      <c r="J343" s="15">
        <f t="shared" si="2"/>
        <v>0</v>
      </c>
      <c r="K343" s="15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5" t="str">
        <f t="shared" si="1"/>
        <v>C344</v>
      </c>
      <c r="B344" s="15"/>
      <c r="C344" s="15"/>
      <c r="D344" s="15"/>
      <c r="E344" s="15"/>
      <c r="F344" s="15"/>
      <c r="G344" s="15" t="str">
        <f>IFERROR(MAX(FILTRAR(Vendas!A:A,Vendas!B:B=B344)),"")</f>
        <v/>
      </c>
      <c r="H344" s="15" t="str">
        <f>IF(B344="","",SUMIF(Vendas!B:B,B344,Vendas!G:G))</f>
        <v/>
      </c>
      <c r="I344" s="15" t="str">
        <f>IF(B344="","",COUNTIF(Vendas!B:B,B344))</f>
        <v/>
      </c>
      <c r="J344" s="15">
        <f t="shared" si="2"/>
        <v>0</v>
      </c>
      <c r="K344" s="15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5" t="str">
        <f t="shared" si="1"/>
        <v>C345</v>
      </c>
      <c r="B345" s="15"/>
      <c r="C345" s="15"/>
      <c r="D345" s="15"/>
      <c r="E345" s="15"/>
      <c r="F345" s="15"/>
      <c r="G345" s="15" t="str">
        <f>IFERROR(MAX(FILTRAR(Vendas!A:A,Vendas!B:B=B345)),"")</f>
        <v/>
      </c>
      <c r="H345" s="15" t="str">
        <f>IF(B345="","",SUMIF(Vendas!B:B,B345,Vendas!G:G))</f>
        <v/>
      </c>
      <c r="I345" s="15" t="str">
        <f>IF(B345="","",COUNTIF(Vendas!B:B,B345))</f>
        <v/>
      </c>
      <c r="J345" s="15">
        <f t="shared" si="2"/>
        <v>0</v>
      </c>
      <c r="K345" s="15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5" t="str">
        <f t="shared" si="1"/>
        <v>C346</v>
      </c>
      <c r="B346" s="15"/>
      <c r="C346" s="15"/>
      <c r="D346" s="15"/>
      <c r="E346" s="15"/>
      <c r="F346" s="15"/>
      <c r="G346" s="15" t="str">
        <f>IFERROR(MAX(FILTRAR(Vendas!A:A,Vendas!B:B=B346)),"")</f>
        <v/>
      </c>
      <c r="H346" s="15" t="str">
        <f>IF(B346="","",SUMIF(Vendas!B:B,B346,Vendas!G:G))</f>
        <v/>
      </c>
      <c r="I346" s="15" t="str">
        <f>IF(B346="","",COUNTIF(Vendas!B:B,B346))</f>
        <v/>
      </c>
      <c r="J346" s="15">
        <f t="shared" si="2"/>
        <v>0</v>
      </c>
      <c r="K346" s="15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5" t="str">
        <f t="shared" si="1"/>
        <v>C347</v>
      </c>
      <c r="B347" s="15"/>
      <c r="C347" s="15"/>
      <c r="D347" s="15"/>
      <c r="E347" s="15"/>
      <c r="F347" s="15"/>
      <c r="G347" s="15" t="str">
        <f>IFERROR(MAX(FILTRAR(Vendas!A:A,Vendas!B:B=B347)),"")</f>
        <v/>
      </c>
      <c r="H347" s="15" t="str">
        <f>IF(B347="","",SUMIF(Vendas!B:B,B347,Vendas!G:G))</f>
        <v/>
      </c>
      <c r="I347" s="15" t="str">
        <f>IF(B347="","",COUNTIF(Vendas!B:B,B347))</f>
        <v/>
      </c>
      <c r="J347" s="15">
        <f t="shared" si="2"/>
        <v>0</v>
      </c>
      <c r="K347" s="15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5" t="str">
        <f t="shared" si="1"/>
        <v>C348</v>
      </c>
      <c r="B348" s="15"/>
      <c r="C348" s="15"/>
      <c r="D348" s="15"/>
      <c r="E348" s="15"/>
      <c r="F348" s="15"/>
      <c r="G348" s="15" t="str">
        <f>IFERROR(MAX(FILTRAR(Vendas!A:A,Vendas!B:B=B348)),"")</f>
        <v/>
      </c>
      <c r="H348" s="15" t="str">
        <f>IF(B348="","",SUMIF(Vendas!B:B,B348,Vendas!G:G))</f>
        <v/>
      </c>
      <c r="I348" s="15" t="str">
        <f>IF(B348="","",COUNTIF(Vendas!B:B,B348))</f>
        <v/>
      </c>
      <c r="J348" s="15">
        <f t="shared" si="2"/>
        <v>0</v>
      </c>
      <c r="K348" s="15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5" t="str">
        <f t="shared" si="1"/>
        <v>C349</v>
      </c>
      <c r="B349" s="15"/>
      <c r="C349" s="15"/>
      <c r="D349" s="15"/>
      <c r="E349" s="15"/>
      <c r="F349" s="15"/>
      <c r="G349" s="15" t="str">
        <f>IFERROR(MAX(FILTRAR(Vendas!A:A,Vendas!B:B=B349)),"")</f>
        <v/>
      </c>
      <c r="H349" s="15" t="str">
        <f>IF(B349="","",SUMIF(Vendas!B:B,B349,Vendas!G:G))</f>
        <v/>
      </c>
      <c r="I349" s="15" t="str">
        <f>IF(B349="","",COUNTIF(Vendas!B:B,B349))</f>
        <v/>
      </c>
      <c r="J349" s="15">
        <f t="shared" si="2"/>
        <v>0</v>
      </c>
      <c r="K349" s="15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5" t="str">
        <f t="shared" si="1"/>
        <v>C350</v>
      </c>
      <c r="B350" s="15"/>
      <c r="C350" s="15"/>
      <c r="D350" s="15"/>
      <c r="E350" s="15"/>
      <c r="F350" s="15"/>
      <c r="G350" s="15" t="str">
        <f>IFERROR(MAX(FILTRAR(Vendas!A:A,Vendas!B:B=B350)),"")</f>
        <v/>
      </c>
      <c r="H350" s="15" t="str">
        <f>IF(B350="","",SUMIF(Vendas!B:B,B350,Vendas!G:G))</f>
        <v/>
      </c>
      <c r="I350" s="15" t="str">
        <f>IF(B350="","",COUNTIF(Vendas!B:B,B350))</f>
        <v/>
      </c>
      <c r="J350" s="15">
        <f t="shared" si="2"/>
        <v>0</v>
      </c>
      <c r="K350" s="15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5" t="str">
        <f t="shared" si="1"/>
        <v>C351</v>
      </c>
      <c r="B351" s="15"/>
      <c r="C351" s="15"/>
      <c r="D351" s="15"/>
      <c r="E351" s="15"/>
      <c r="F351" s="15"/>
      <c r="G351" s="15" t="str">
        <f>IFERROR(MAX(FILTRAR(Vendas!A:A,Vendas!B:B=B351)),"")</f>
        <v/>
      </c>
      <c r="H351" s="15" t="str">
        <f>IF(B351="","",SUMIF(Vendas!B:B,B351,Vendas!G:G))</f>
        <v/>
      </c>
      <c r="I351" s="15" t="str">
        <f>IF(B351="","",COUNTIF(Vendas!B:B,B351))</f>
        <v/>
      </c>
      <c r="J351" s="15">
        <f t="shared" si="2"/>
        <v>0</v>
      </c>
      <c r="K351" s="15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5" t="str">
        <f t="shared" si="1"/>
        <v>C352</v>
      </c>
      <c r="B352" s="15"/>
      <c r="C352" s="15"/>
      <c r="D352" s="15"/>
      <c r="E352" s="15"/>
      <c r="F352" s="15"/>
      <c r="G352" s="15" t="str">
        <f>IFERROR(MAX(FILTRAR(Vendas!A:A,Vendas!B:B=B352)),"")</f>
        <v/>
      </c>
      <c r="H352" s="15" t="str">
        <f>IF(B352="","",SUMIF(Vendas!B:B,B352,Vendas!G:G))</f>
        <v/>
      </c>
      <c r="I352" s="15" t="str">
        <f>IF(B352="","",COUNTIF(Vendas!B:B,B352))</f>
        <v/>
      </c>
      <c r="J352" s="15">
        <f t="shared" si="2"/>
        <v>0</v>
      </c>
      <c r="K352" s="15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5" t="str">
        <f t="shared" si="1"/>
        <v>C353</v>
      </c>
      <c r="B353" s="15"/>
      <c r="C353" s="15"/>
      <c r="D353" s="15"/>
      <c r="E353" s="15"/>
      <c r="F353" s="15"/>
      <c r="G353" s="15" t="str">
        <f>IFERROR(MAX(FILTRAR(Vendas!A:A,Vendas!B:B=B353)),"")</f>
        <v/>
      </c>
      <c r="H353" s="15" t="str">
        <f>IF(B353="","",SUMIF(Vendas!B:B,B353,Vendas!G:G))</f>
        <v/>
      </c>
      <c r="I353" s="15" t="str">
        <f>IF(B353="","",COUNTIF(Vendas!B:B,B353))</f>
        <v/>
      </c>
      <c r="J353" s="15">
        <f t="shared" si="2"/>
        <v>0</v>
      </c>
      <c r="K353" s="15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5" t="str">
        <f t="shared" si="1"/>
        <v>C354</v>
      </c>
      <c r="B354" s="15"/>
      <c r="C354" s="15"/>
      <c r="D354" s="15"/>
      <c r="E354" s="15"/>
      <c r="F354" s="15"/>
      <c r="G354" s="15" t="str">
        <f>IFERROR(MAX(FILTRAR(Vendas!A:A,Vendas!B:B=B354)),"")</f>
        <v/>
      </c>
      <c r="H354" s="15" t="str">
        <f>IF(B354="","",SUMIF(Vendas!B:B,B354,Vendas!G:G))</f>
        <v/>
      </c>
      <c r="I354" s="15" t="str">
        <f>IF(B354="","",COUNTIF(Vendas!B:B,B354))</f>
        <v/>
      </c>
      <c r="J354" s="15">
        <f t="shared" si="2"/>
        <v>0</v>
      </c>
      <c r="K354" s="15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5" t="str">
        <f t="shared" si="1"/>
        <v>C355</v>
      </c>
      <c r="B355" s="15"/>
      <c r="C355" s="15"/>
      <c r="D355" s="15"/>
      <c r="E355" s="15"/>
      <c r="F355" s="15"/>
      <c r="G355" s="15" t="str">
        <f>IFERROR(MAX(FILTRAR(Vendas!A:A,Vendas!B:B=B355)),"")</f>
        <v/>
      </c>
      <c r="H355" s="15" t="str">
        <f>IF(B355="","",SUMIF(Vendas!B:B,B355,Vendas!G:G))</f>
        <v/>
      </c>
      <c r="I355" s="15" t="str">
        <f>IF(B355="","",COUNTIF(Vendas!B:B,B355))</f>
        <v/>
      </c>
      <c r="J355" s="15">
        <f t="shared" si="2"/>
        <v>0</v>
      </c>
      <c r="K355" s="15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5" t="str">
        <f t="shared" si="1"/>
        <v>C356</v>
      </c>
      <c r="B356" s="15"/>
      <c r="C356" s="15"/>
      <c r="D356" s="15"/>
      <c r="E356" s="15"/>
      <c r="F356" s="15"/>
      <c r="G356" s="15" t="str">
        <f>IFERROR(MAX(FILTRAR(Vendas!A:A,Vendas!B:B=B356)),"")</f>
        <v/>
      </c>
      <c r="H356" s="15" t="str">
        <f>IF(B356="","",SUMIF(Vendas!B:B,B356,Vendas!G:G))</f>
        <v/>
      </c>
      <c r="I356" s="15" t="str">
        <f>IF(B356="","",COUNTIF(Vendas!B:B,B356))</f>
        <v/>
      </c>
      <c r="J356" s="15">
        <f t="shared" si="2"/>
        <v>0</v>
      </c>
      <c r="K356" s="15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5" t="str">
        <f t="shared" si="1"/>
        <v>C357</v>
      </c>
      <c r="B357" s="15"/>
      <c r="C357" s="15"/>
      <c r="D357" s="15"/>
      <c r="E357" s="15"/>
      <c r="F357" s="15"/>
      <c r="G357" s="15" t="str">
        <f>IFERROR(MAX(FILTRAR(Vendas!A:A,Vendas!B:B=B357)),"")</f>
        <v/>
      </c>
      <c r="H357" s="15" t="str">
        <f>IF(B357="","",SUMIF(Vendas!B:B,B357,Vendas!G:G))</f>
        <v/>
      </c>
      <c r="I357" s="15" t="str">
        <f>IF(B357="","",COUNTIF(Vendas!B:B,B357))</f>
        <v/>
      </c>
      <c r="J357" s="15">
        <f t="shared" si="2"/>
        <v>0</v>
      </c>
      <c r="K357" s="15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5" t="str">
        <f t="shared" si="1"/>
        <v>C358</v>
      </c>
      <c r="B358" s="15"/>
      <c r="C358" s="15"/>
      <c r="D358" s="15"/>
      <c r="E358" s="15"/>
      <c r="F358" s="15"/>
      <c r="G358" s="15" t="str">
        <f>IFERROR(MAX(FILTRAR(Vendas!A:A,Vendas!B:B=B358)),"")</f>
        <v/>
      </c>
      <c r="H358" s="15" t="str">
        <f>IF(B358="","",SUMIF(Vendas!B:B,B358,Vendas!G:G))</f>
        <v/>
      </c>
      <c r="I358" s="15" t="str">
        <f>IF(B358="","",COUNTIF(Vendas!B:B,B358))</f>
        <v/>
      </c>
      <c r="J358" s="15">
        <f t="shared" si="2"/>
        <v>0</v>
      </c>
      <c r="K358" s="15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5" t="str">
        <f t="shared" si="1"/>
        <v>C359</v>
      </c>
      <c r="B359" s="15"/>
      <c r="C359" s="15"/>
      <c r="D359" s="15"/>
      <c r="E359" s="15"/>
      <c r="F359" s="15"/>
      <c r="G359" s="15" t="str">
        <f>IFERROR(MAX(FILTRAR(Vendas!A:A,Vendas!B:B=B359)),"")</f>
        <v/>
      </c>
      <c r="H359" s="15" t="str">
        <f>IF(B359="","",SUMIF(Vendas!B:B,B359,Vendas!G:G))</f>
        <v/>
      </c>
      <c r="I359" s="15" t="str">
        <f>IF(B359="","",COUNTIF(Vendas!B:B,B359))</f>
        <v/>
      </c>
      <c r="J359" s="15">
        <f t="shared" si="2"/>
        <v>0</v>
      </c>
      <c r="K359" s="15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5" t="str">
        <f t="shared" si="1"/>
        <v>C360</v>
      </c>
      <c r="B360" s="15"/>
      <c r="C360" s="15"/>
      <c r="D360" s="15"/>
      <c r="E360" s="15"/>
      <c r="F360" s="15"/>
      <c r="G360" s="15" t="str">
        <f>IFERROR(MAX(FILTRAR(Vendas!A:A,Vendas!B:B=B360)),"")</f>
        <v/>
      </c>
      <c r="H360" s="15" t="str">
        <f>IF(B360="","",SUMIF(Vendas!B:B,B360,Vendas!G:G))</f>
        <v/>
      </c>
      <c r="I360" s="15" t="str">
        <f>IF(B360="","",COUNTIF(Vendas!B:B,B360))</f>
        <v/>
      </c>
      <c r="J360" s="15">
        <f t="shared" si="2"/>
        <v>0</v>
      </c>
      <c r="K360" s="15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5" t="str">
        <f t="shared" si="1"/>
        <v>C361</v>
      </c>
      <c r="B361" s="15"/>
      <c r="C361" s="15"/>
      <c r="D361" s="15"/>
      <c r="E361" s="15"/>
      <c r="F361" s="15"/>
      <c r="G361" s="15" t="str">
        <f>IFERROR(MAX(FILTRAR(Vendas!A:A,Vendas!B:B=B361)),"")</f>
        <v/>
      </c>
      <c r="H361" s="15" t="str">
        <f>IF(B361="","",SUMIF(Vendas!B:B,B361,Vendas!G:G))</f>
        <v/>
      </c>
      <c r="I361" s="15" t="str">
        <f>IF(B361="","",COUNTIF(Vendas!B:B,B361))</f>
        <v/>
      </c>
      <c r="J361" s="15">
        <f t="shared" si="2"/>
        <v>0</v>
      </c>
      <c r="K361" s="15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5" t="str">
        <f t="shared" si="1"/>
        <v>C362</v>
      </c>
      <c r="B362" s="15"/>
      <c r="C362" s="15"/>
      <c r="D362" s="15"/>
      <c r="E362" s="15"/>
      <c r="F362" s="15"/>
      <c r="G362" s="15" t="str">
        <f>IFERROR(MAX(FILTRAR(Vendas!A:A,Vendas!B:B=B362)),"")</f>
        <v/>
      </c>
      <c r="H362" s="15" t="str">
        <f>IF(B362="","",SUMIF(Vendas!B:B,B362,Vendas!G:G))</f>
        <v/>
      </c>
      <c r="I362" s="15" t="str">
        <f>IF(B362="","",COUNTIF(Vendas!B:B,B362))</f>
        <v/>
      </c>
      <c r="J362" s="15">
        <f t="shared" si="2"/>
        <v>0</v>
      </c>
      <c r="K362" s="15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5" t="str">
        <f t="shared" si="1"/>
        <v>C363</v>
      </c>
      <c r="B363" s="15"/>
      <c r="C363" s="15"/>
      <c r="D363" s="15"/>
      <c r="E363" s="15"/>
      <c r="F363" s="15"/>
      <c r="G363" s="15" t="str">
        <f>IFERROR(MAX(FILTRAR(Vendas!A:A,Vendas!B:B=B363)),"")</f>
        <v/>
      </c>
      <c r="H363" s="15" t="str">
        <f>IF(B363="","",SUMIF(Vendas!B:B,B363,Vendas!G:G))</f>
        <v/>
      </c>
      <c r="I363" s="15" t="str">
        <f>IF(B363="","",COUNTIF(Vendas!B:B,B363))</f>
        <v/>
      </c>
      <c r="J363" s="15">
        <f t="shared" si="2"/>
        <v>0</v>
      </c>
      <c r="K363" s="15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5" t="str">
        <f t="shared" si="1"/>
        <v>C364</v>
      </c>
      <c r="B364" s="15"/>
      <c r="C364" s="15"/>
      <c r="D364" s="15"/>
      <c r="E364" s="15"/>
      <c r="F364" s="15"/>
      <c r="G364" s="15" t="str">
        <f>IFERROR(MAX(FILTRAR(Vendas!A:A,Vendas!B:B=B364)),"")</f>
        <v/>
      </c>
      <c r="H364" s="15" t="str">
        <f>IF(B364="","",SUMIF(Vendas!B:B,B364,Vendas!G:G))</f>
        <v/>
      </c>
      <c r="I364" s="15" t="str">
        <f>IF(B364="","",COUNTIF(Vendas!B:B,B364))</f>
        <v/>
      </c>
      <c r="J364" s="15">
        <f t="shared" si="2"/>
        <v>0</v>
      </c>
      <c r="K364" s="15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5" t="str">
        <f t="shared" si="1"/>
        <v>C365</v>
      </c>
      <c r="B365" s="15"/>
      <c r="C365" s="15"/>
      <c r="D365" s="15"/>
      <c r="E365" s="15"/>
      <c r="F365" s="15"/>
      <c r="G365" s="15" t="str">
        <f>IFERROR(MAX(FILTRAR(Vendas!A:A,Vendas!B:B=B365)),"")</f>
        <v/>
      </c>
      <c r="H365" s="15" t="str">
        <f>IF(B365="","",SUMIF(Vendas!B:B,B365,Vendas!G:G))</f>
        <v/>
      </c>
      <c r="I365" s="15" t="str">
        <f>IF(B365="","",COUNTIF(Vendas!B:B,B365))</f>
        <v/>
      </c>
      <c r="J365" s="15">
        <f t="shared" si="2"/>
        <v>0</v>
      </c>
      <c r="K365" s="15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5" t="str">
        <f t="shared" si="1"/>
        <v>C366</v>
      </c>
      <c r="B366" s="15"/>
      <c r="C366" s="15"/>
      <c r="D366" s="15"/>
      <c r="E366" s="15"/>
      <c r="F366" s="15"/>
      <c r="G366" s="15" t="str">
        <f>IFERROR(MAX(FILTRAR(Vendas!A:A,Vendas!B:B=B366)),"")</f>
        <v/>
      </c>
      <c r="H366" s="15" t="str">
        <f>IF(B366="","",SUMIF(Vendas!B:B,B366,Vendas!G:G))</f>
        <v/>
      </c>
      <c r="I366" s="15" t="str">
        <f>IF(B366="","",COUNTIF(Vendas!B:B,B366))</f>
        <v/>
      </c>
      <c r="J366" s="15">
        <f t="shared" si="2"/>
        <v>0</v>
      </c>
      <c r="K366" s="15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5" t="str">
        <f t="shared" si="1"/>
        <v>C367</v>
      </c>
      <c r="B367" s="15"/>
      <c r="C367" s="15"/>
      <c r="D367" s="15"/>
      <c r="E367" s="15"/>
      <c r="F367" s="15"/>
      <c r="G367" s="15" t="str">
        <f>IFERROR(MAX(FILTRAR(Vendas!A:A,Vendas!B:B=B367)),"")</f>
        <v/>
      </c>
      <c r="H367" s="15" t="str">
        <f>IF(B367="","",SUMIF(Vendas!B:B,B367,Vendas!G:G))</f>
        <v/>
      </c>
      <c r="I367" s="15" t="str">
        <f>IF(B367="","",COUNTIF(Vendas!B:B,B367))</f>
        <v/>
      </c>
      <c r="J367" s="15">
        <f t="shared" si="2"/>
        <v>0</v>
      </c>
      <c r="K367" s="15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5" t="str">
        <f t="shared" si="1"/>
        <v>C368</v>
      </c>
      <c r="B368" s="15"/>
      <c r="C368" s="15"/>
      <c r="D368" s="15"/>
      <c r="E368" s="15"/>
      <c r="F368" s="15"/>
      <c r="G368" s="15" t="str">
        <f>IFERROR(MAX(FILTRAR(Vendas!A:A,Vendas!B:B=B368)),"")</f>
        <v/>
      </c>
      <c r="H368" s="15" t="str">
        <f>IF(B368="","",SUMIF(Vendas!B:B,B368,Vendas!G:G))</f>
        <v/>
      </c>
      <c r="I368" s="15" t="str">
        <f>IF(B368="","",COUNTIF(Vendas!B:B,B368))</f>
        <v/>
      </c>
      <c r="J368" s="15">
        <f t="shared" si="2"/>
        <v>0</v>
      </c>
      <c r="K368" s="15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5" t="str">
        <f t="shared" si="1"/>
        <v>C369</v>
      </c>
      <c r="B369" s="15"/>
      <c r="C369" s="15"/>
      <c r="D369" s="15"/>
      <c r="E369" s="15"/>
      <c r="F369" s="15"/>
      <c r="G369" s="15" t="str">
        <f>IFERROR(MAX(FILTRAR(Vendas!A:A,Vendas!B:B=B369)),"")</f>
        <v/>
      </c>
      <c r="H369" s="15" t="str">
        <f>IF(B369="","",SUMIF(Vendas!B:B,B369,Vendas!G:G))</f>
        <v/>
      </c>
      <c r="I369" s="15" t="str">
        <f>IF(B369="","",COUNTIF(Vendas!B:B,B369))</f>
        <v/>
      </c>
      <c r="J369" s="15">
        <f t="shared" si="2"/>
        <v>0</v>
      </c>
      <c r="K369" s="15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5" t="str">
        <f t="shared" si="1"/>
        <v>C370</v>
      </c>
      <c r="B370" s="15"/>
      <c r="C370" s="15"/>
      <c r="D370" s="15"/>
      <c r="E370" s="15"/>
      <c r="F370" s="15"/>
      <c r="G370" s="15" t="str">
        <f>IFERROR(MAX(FILTRAR(Vendas!A:A,Vendas!B:B=B370)),"")</f>
        <v/>
      </c>
      <c r="H370" s="15" t="str">
        <f>IF(B370="","",SUMIF(Vendas!B:B,B370,Vendas!G:G))</f>
        <v/>
      </c>
      <c r="I370" s="15" t="str">
        <f>IF(B370="","",COUNTIF(Vendas!B:B,B370))</f>
        <v/>
      </c>
      <c r="J370" s="15">
        <f t="shared" si="2"/>
        <v>0</v>
      </c>
      <c r="K370" s="15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5" t="str">
        <f t="shared" si="1"/>
        <v>C371</v>
      </c>
      <c r="B371" s="15"/>
      <c r="C371" s="15"/>
      <c r="D371" s="15"/>
      <c r="E371" s="15"/>
      <c r="F371" s="15"/>
      <c r="G371" s="15" t="str">
        <f>IFERROR(MAX(FILTRAR(Vendas!A:A,Vendas!B:B=B371)),"")</f>
        <v/>
      </c>
      <c r="H371" s="15" t="str">
        <f>IF(B371="","",SUMIF(Vendas!B:B,B371,Vendas!G:G))</f>
        <v/>
      </c>
      <c r="I371" s="15" t="str">
        <f>IF(B371="","",COUNTIF(Vendas!B:B,B371))</f>
        <v/>
      </c>
      <c r="J371" s="15">
        <f t="shared" si="2"/>
        <v>0</v>
      </c>
      <c r="K371" s="15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5" t="str">
        <f t="shared" si="1"/>
        <v>C372</v>
      </c>
      <c r="B372" s="15"/>
      <c r="C372" s="15"/>
      <c r="D372" s="15"/>
      <c r="E372" s="15"/>
      <c r="F372" s="15"/>
      <c r="G372" s="15" t="str">
        <f>IFERROR(MAX(FILTRAR(Vendas!A:A,Vendas!B:B=B372)),"")</f>
        <v/>
      </c>
      <c r="H372" s="15" t="str">
        <f>IF(B372="","",SUMIF(Vendas!B:B,B372,Vendas!G:G))</f>
        <v/>
      </c>
      <c r="I372" s="15" t="str">
        <f>IF(B372="","",COUNTIF(Vendas!B:B,B372))</f>
        <v/>
      </c>
      <c r="J372" s="15">
        <f t="shared" si="2"/>
        <v>0</v>
      </c>
      <c r="K372" s="15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5" t="str">
        <f t="shared" si="1"/>
        <v>C373</v>
      </c>
      <c r="B373" s="15"/>
      <c r="C373" s="15"/>
      <c r="D373" s="15"/>
      <c r="E373" s="15"/>
      <c r="F373" s="15"/>
      <c r="G373" s="15" t="str">
        <f>IFERROR(MAX(FILTRAR(Vendas!A:A,Vendas!B:B=B373)),"")</f>
        <v/>
      </c>
      <c r="H373" s="15" t="str">
        <f>IF(B373="","",SUMIF(Vendas!B:B,B373,Vendas!G:G))</f>
        <v/>
      </c>
      <c r="I373" s="15" t="str">
        <f>IF(B373="","",COUNTIF(Vendas!B:B,B373))</f>
        <v/>
      </c>
      <c r="J373" s="15">
        <f t="shared" si="2"/>
        <v>0</v>
      </c>
      <c r="K373" s="15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5" t="str">
        <f t="shared" si="1"/>
        <v>C374</v>
      </c>
      <c r="B374" s="15"/>
      <c r="C374" s="15"/>
      <c r="D374" s="15"/>
      <c r="E374" s="15"/>
      <c r="F374" s="15"/>
      <c r="G374" s="15" t="str">
        <f>IFERROR(MAX(FILTRAR(Vendas!A:A,Vendas!B:B=B374)),"")</f>
        <v/>
      </c>
      <c r="H374" s="15" t="str">
        <f>IF(B374="","",SUMIF(Vendas!B:B,B374,Vendas!G:G))</f>
        <v/>
      </c>
      <c r="I374" s="15" t="str">
        <f>IF(B374="","",COUNTIF(Vendas!B:B,B374))</f>
        <v/>
      </c>
      <c r="J374" s="15">
        <f t="shared" si="2"/>
        <v>0</v>
      </c>
      <c r="K374" s="15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5" t="str">
        <f t="shared" si="1"/>
        <v>C375</v>
      </c>
      <c r="B375" s="15"/>
      <c r="C375" s="15"/>
      <c r="D375" s="15"/>
      <c r="E375" s="15"/>
      <c r="F375" s="15"/>
      <c r="G375" s="15" t="str">
        <f>IFERROR(MAX(FILTRAR(Vendas!A:A,Vendas!B:B=B375)),"")</f>
        <v/>
      </c>
      <c r="H375" s="15" t="str">
        <f>IF(B375="","",SUMIF(Vendas!B:B,B375,Vendas!G:G))</f>
        <v/>
      </c>
      <c r="I375" s="15" t="str">
        <f>IF(B375="","",COUNTIF(Vendas!B:B,B375))</f>
        <v/>
      </c>
      <c r="J375" s="15">
        <f t="shared" si="2"/>
        <v>0</v>
      </c>
      <c r="K375" s="15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5" t="str">
        <f t="shared" si="1"/>
        <v>C376</v>
      </c>
      <c r="B376" s="15"/>
      <c r="C376" s="15"/>
      <c r="D376" s="15"/>
      <c r="E376" s="15"/>
      <c r="F376" s="15"/>
      <c r="G376" s="15" t="str">
        <f>IFERROR(MAX(FILTRAR(Vendas!A:A,Vendas!B:B=B376)),"")</f>
        <v/>
      </c>
      <c r="H376" s="15" t="str">
        <f>IF(B376="","",SUMIF(Vendas!B:B,B376,Vendas!G:G))</f>
        <v/>
      </c>
      <c r="I376" s="15" t="str">
        <f>IF(B376="","",COUNTIF(Vendas!B:B,B376))</f>
        <v/>
      </c>
      <c r="J376" s="15">
        <f t="shared" si="2"/>
        <v>0</v>
      </c>
      <c r="K376" s="15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5" t="str">
        <f t="shared" si="1"/>
        <v>C377</v>
      </c>
      <c r="B377" s="15"/>
      <c r="C377" s="15"/>
      <c r="D377" s="15"/>
      <c r="E377" s="15"/>
      <c r="F377" s="15"/>
      <c r="G377" s="15" t="str">
        <f>IFERROR(MAX(FILTRAR(Vendas!A:A,Vendas!B:B=B377)),"")</f>
        <v/>
      </c>
      <c r="H377" s="15" t="str">
        <f>IF(B377="","",SUMIF(Vendas!B:B,B377,Vendas!G:G))</f>
        <v/>
      </c>
      <c r="I377" s="15" t="str">
        <f>IF(B377="","",COUNTIF(Vendas!B:B,B377))</f>
        <v/>
      </c>
      <c r="J377" s="15">
        <f t="shared" si="2"/>
        <v>0</v>
      </c>
      <c r="K377" s="15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5" t="str">
        <f t="shared" si="1"/>
        <v>C378</v>
      </c>
      <c r="B378" s="15"/>
      <c r="C378" s="15"/>
      <c r="D378" s="15"/>
      <c r="E378" s="15"/>
      <c r="F378" s="15"/>
      <c r="G378" s="15" t="str">
        <f>IFERROR(MAX(FILTRAR(Vendas!A:A,Vendas!B:B=B378)),"")</f>
        <v/>
      </c>
      <c r="H378" s="15" t="str">
        <f>IF(B378="","",SUMIF(Vendas!B:B,B378,Vendas!G:G))</f>
        <v/>
      </c>
      <c r="I378" s="15" t="str">
        <f>IF(B378="","",COUNTIF(Vendas!B:B,B378))</f>
        <v/>
      </c>
      <c r="J378" s="15">
        <f t="shared" si="2"/>
        <v>0</v>
      </c>
      <c r="K378" s="15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5" t="str">
        <f t="shared" si="1"/>
        <v>C379</v>
      </c>
      <c r="B379" s="15"/>
      <c r="C379" s="15"/>
      <c r="D379" s="15"/>
      <c r="E379" s="15"/>
      <c r="F379" s="15"/>
      <c r="G379" s="15" t="str">
        <f>IFERROR(MAX(FILTRAR(Vendas!A:A,Vendas!B:B=B379)),"")</f>
        <v/>
      </c>
      <c r="H379" s="15" t="str">
        <f>IF(B379="","",SUMIF(Vendas!B:B,B379,Vendas!G:G))</f>
        <v/>
      </c>
      <c r="I379" s="15" t="str">
        <f>IF(B379="","",COUNTIF(Vendas!B:B,B379))</f>
        <v/>
      </c>
      <c r="J379" s="15">
        <f t="shared" si="2"/>
        <v>0</v>
      </c>
      <c r="K379" s="15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5" t="str">
        <f t="shared" si="1"/>
        <v>C380</v>
      </c>
      <c r="B380" s="15"/>
      <c r="C380" s="15"/>
      <c r="D380" s="15"/>
      <c r="E380" s="15"/>
      <c r="F380" s="15"/>
      <c r="G380" s="15" t="str">
        <f>IFERROR(MAX(FILTRAR(Vendas!A:A,Vendas!B:B=B380)),"")</f>
        <v/>
      </c>
      <c r="H380" s="15" t="str">
        <f>IF(B380="","",SUMIF(Vendas!B:B,B380,Vendas!G:G))</f>
        <v/>
      </c>
      <c r="I380" s="15" t="str">
        <f>IF(B380="","",COUNTIF(Vendas!B:B,B380))</f>
        <v/>
      </c>
      <c r="J380" s="15">
        <f t="shared" si="2"/>
        <v>0</v>
      </c>
      <c r="K380" s="15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5" t="str">
        <f t="shared" si="1"/>
        <v>C381</v>
      </c>
      <c r="B381" s="15"/>
      <c r="C381" s="15"/>
      <c r="D381" s="15"/>
      <c r="E381" s="15"/>
      <c r="F381" s="15"/>
      <c r="G381" s="15" t="str">
        <f>IFERROR(MAX(FILTRAR(Vendas!A:A,Vendas!B:B=B381)),"")</f>
        <v/>
      </c>
      <c r="H381" s="15" t="str">
        <f>IF(B381="","",SUMIF(Vendas!B:B,B381,Vendas!G:G))</f>
        <v/>
      </c>
      <c r="I381" s="15" t="str">
        <f>IF(B381="","",COUNTIF(Vendas!B:B,B381))</f>
        <v/>
      </c>
      <c r="J381" s="15">
        <f t="shared" si="2"/>
        <v>0</v>
      </c>
      <c r="K381" s="15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5" t="str">
        <f t="shared" si="1"/>
        <v>C382</v>
      </c>
      <c r="B382" s="15"/>
      <c r="C382" s="15"/>
      <c r="D382" s="15"/>
      <c r="E382" s="15"/>
      <c r="F382" s="15"/>
      <c r="G382" s="15" t="str">
        <f>IFERROR(MAX(FILTRAR(Vendas!A:A,Vendas!B:B=B382)),"")</f>
        <v/>
      </c>
      <c r="H382" s="15" t="str">
        <f>IF(B382="","",SUMIF(Vendas!B:B,B382,Vendas!G:G))</f>
        <v/>
      </c>
      <c r="I382" s="15" t="str">
        <f>IF(B382="","",COUNTIF(Vendas!B:B,B382))</f>
        <v/>
      </c>
      <c r="J382" s="15">
        <f t="shared" si="2"/>
        <v>0</v>
      </c>
      <c r="K382" s="15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5" t="str">
        <f t="shared" si="1"/>
        <v>C383</v>
      </c>
      <c r="B383" s="15"/>
      <c r="C383" s="15"/>
      <c r="D383" s="15"/>
      <c r="E383" s="15"/>
      <c r="F383" s="15"/>
      <c r="G383" s="15" t="str">
        <f>IFERROR(MAX(FILTRAR(Vendas!A:A,Vendas!B:B=B383)),"")</f>
        <v/>
      </c>
      <c r="H383" s="15" t="str">
        <f>IF(B383="","",SUMIF(Vendas!B:B,B383,Vendas!G:G))</f>
        <v/>
      </c>
      <c r="I383" s="15" t="str">
        <f>IF(B383="","",COUNTIF(Vendas!B:B,B383))</f>
        <v/>
      </c>
      <c r="J383" s="15">
        <f t="shared" si="2"/>
        <v>0</v>
      </c>
      <c r="K383" s="15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5" t="str">
        <f t="shared" si="1"/>
        <v>C384</v>
      </c>
      <c r="B384" s="15"/>
      <c r="C384" s="15"/>
      <c r="D384" s="15"/>
      <c r="E384" s="15"/>
      <c r="F384" s="15"/>
      <c r="G384" s="15" t="str">
        <f>IFERROR(MAX(FILTRAR(Vendas!A:A,Vendas!B:B=B384)),"")</f>
        <v/>
      </c>
      <c r="H384" s="15" t="str">
        <f>IF(B384="","",SUMIF(Vendas!B:B,B384,Vendas!G:G))</f>
        <v/>
      </c>
      <c r="I384" s="15" t="str">
        <f>IF(B384="","",COUNTIF(Vendas!B:B,B384))</f>
        <v/>
      </c>
      <c r="J384" s="15">
        <f t="shared" si="2"/>
        <v>0</v>
      </c>
      <c r="K384" s="15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5" t="str">
        <f t="shared" si="1"/>
        <v>C385</v>
      </c>
      <c r="B385" s="15"/>
      <c r="C385" s="15"/>
      <c r="D385" s="15"/>
      <c r="E385" s="15"/>
      <c r="F385" s="15"/>
      <c r="G385" s="15" t="str">
        <f>IFERROR(MAX(FILTRAR(Vendas!A:A,Vendas!B:B=B385)),"")</f>
        <v/>
      </c>
      <c r="H385" s="15" t="str">
        <f>IF(B385="","",SUMIF(Vendas!B:B,B385,Vendas!G:G))</f>
        <v/>
      </c>
      <c r="I385" s="15" t="str">
        <f>IF(B385="","",COUNTIF(Vendas!B:B,B385))</f>
        <v/>
      </c>
      <c r="J385" s="15">
        <f t="shared" si="2"/>
        <v>0</v>
      </c>
      <c r="K385" s="15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5" t="str">
        <f t="shared" si="1"/>
        <v>C386</v>
      </c>
      <c r="B386" s="15"/>
      <c r="C386" s="15"/>
      <c r="D386" s="15"/>
      <c r="E386" s="15"/>
      <c r="F386" s="15"/>
      <c r="G386" s="15" t="str">
        <f>IFERROR(MAX(FILTRAR(Vendas!A:A,Vendas!B:B=B386)),"")</f>
        <v/>
      </c>
      <c r="H386" s="15" t="str">
        <f>IF(B386="","",SUMIF(Vendas!B:B,B386,Vendas!G:G))</f>
        <v/>
      </c>
      <c r="I386" s="15" t="str">
        <f>IF(B386="","",COUNTIF(Vendas!B:B,B386))</f>
        <v/>
      </c>
      <c r="J386" s="15">
        <f t="shared" si="2"/>
        <v>0</v>
      </c>
      <c r="K386" s="15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5" t="str">
        <f t="shared" si="1"/>
        <v>C387</v>
      </c>
      <c r="B387" s="15"/>
      <c r="C387" s="15"/>
      <c r="D387" s="15"/>
      <c r="E387" s="15"/>
      <c r="F387" s="15"/>
      <c r="G387" s="15" t="str">
        <f>IFERROR(MAX(FILTRAR(Vendas!A:A,Vendas!B:B=B387)),"")</f>
        <v/>
      </c>
      <c r="H387" s="15" t="str">
        <f>IF(B387="","",SUMIF(Vendas!B:B,B387,Vendas!G:G))</f>
        <v/>
      </c>
      <c r="I387" s="15" t="str">
        <f>IF(B387="","",COUNTIF(Vendas!B:B,B387))</f>
        <v/>
      </c>
      <c r="J387" s="15">
        <f t="shared" si="2"/>
        <v>0</v>
      </c>
      <c r="K387" s="15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5" t="str">
        <f t="shared" si="1"/>
        <v>C388</v>
      </c>
      <c r="B388" s="15"/>
      <c r="C388" s="15"/>
      <c r="D388" s="15"/>
      <c r="E388" s="15"/>
      <c r="F388" s="15"/>
      <c r="G388" s="15" t="str">
        <f>IFERROR(MAX(FILTRAR(Vendas!A:A,Vendas!B:B=B388)),"")</f>
        <v/>
      </c>
      <c r="H388" s="15" t="str">
        <f>IF(B388="","",SUMIF(Vendas!B:B,B388,Vendas!G:G))</f>
        <v/>
      </c>
      <c r="I388" s="15" t="str">
        <f>IF(B388="","",COUNTIF(Vendas!B:B,B388))</f>
        <v/>
      </c>
      <c r="J388" s="15">
        <f t="shared" si="2"/>
        <v>0</v>
      </c>
      <c r="K388" s="15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5" t="str">
        <f t="shared" si="1"/>
        <v>C389</v>
      </c>
      <c r="B389" s="15"/>
      <c r="C389" s="15"/>
      <c r="D389" s="15"/>
      <c r="E389" s="15"/>
      <c r="F389" s="15"/>
      <c r="G389" s="15" t="str">
        <f>IFERROR(MAX(FILTRAR(Vendas!A:A,Vendas!B:B=B389)),"")</f>
        <v/>
      </c>
      <c r="H389" s="15" t="str">
        <f>IF(B389="","",SUMIF(Vendas!B:B,B389,Vendas!G:G))</f>
        <v/>
      </c>
      <c r="I389" s="15" t="str">
        <f>IF(B389="","",COUNTIF(Vendas!B:B,B389))</f>
        <v/>
      </c>
      <c r="J389" s="15">
        <f t="shared" si="2"/>
        <v>0</v>
      </c>
      <c r="K389" s="15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5" t="str">
        <f t="shared" si="1"/>
        <v>C390</v>
      </c>
      <c r="B390" s="15"/>
      <c r="C390" s="15"/>
      <c r="D390" s="15"/>
      <c r="E390" s="15"/>
      <c r="F390" s="15"/>
      <c r="G390" s="15" t="str">
        <f>IFERROR(MAX(FILTRAR(Vendas!A:A,Vendas!B:B=B390)),"")</f>
        <v/>
      </c>
      <c r="H390" s="15" t="str">
        <f>IF(B390="","",SUMIF(Vendas!B:B,B390,Vendas!G:G))</f>
        <v/>
      </c>
      <c r="I390" s="15" t="str">
        <f>IF(B390="","",COUNTIF(Vendas!B:B,B390))</f>
        <v/>
      </c>
      <c r="J390" s="15">
        <f t="shared" si="2"/>
        <v>0</v>
      </c>
      <c r="K390" s="15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5" t="str">
        <f t="shared" si="1"/>
        <v>C391</v>
      </c>
      <c r="B391" s="15"/>
      <c r="C391" s="15"/>
      <c r="D391" s="15"/>
      <c r="E391" s="15"/>
      <c r="F391" s="15"/>
      <c r="G391" s="15" t="str">
        <f>IFERROR(MAX(FILTRAR(Vendas!A:A,Vendas!B:B=B391)),"")</f>
        <v/>
      </c>
      <c r="H391" s="15" t="str">
        <f>IF(B391="","",SUMIF(Vendas!B:B,B391,Vendas!G:G))</f>
        <v/>
      </c>
      <c r="I391" s="15" t="str">
        <f>IF(B391="","",COUNTIF(Vendas!B:B,B391))</f>
        <v/>
      </c>
      <c r="J391" s="15">
        <f t="shared" si="2"/>
        <v>0</v>
      </c>
      <c r="K391" s="15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5" t="str">
        <f t="shared" si="1"/>
        <v>C392</v>
      </c>
      <c r="B392" s="15"/>
      <c r="C392" s="15"/>
      <c r="D392" s="15"/>
      <c r="E392" s="15"/>
      <c r="F392" s="15"/>
      <c r="G392" s="15" t="str">
        <f>IFERROR(MAX(FILTRAR(Vendas!A:A,Vendas!B:B=B392)),"")</f>
        <v/>
      </c>
      <c r="H392" s="15" t="str">
        <f>IF(B392="","",SUMIF(Vendas!B:B,B392,Vendas!G:G))</f>
        <v/>
      </c>
      <c r="I392" s="15" t="str">
        <f>IF(B392="","",COUNTIF(Vendas!B:B,B392))</f>
        <v/>
      </c>
      <c r="J392" s="15">
        <f t="shared" si="2"/>
        <v>0</v>
      </c>
      <c r="K392" s="15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5" t="str">
        <f t="shared" si="1"/>
        <v>C393</v>
      </c>
      <c r="B393" s="15"/>
      <c r="C393" s="15"/>
      <c r="D393" s="15"/>
      <c r="E393" s="15"/>
      <c r="F393" s="15"/>
      <c r="G393" s="15" t="str">
        <f>IFERROR(MAX(FILTRAR(Vendas!A:A,Vendas!B:B=B393)),"")</f>
        <v/>
      </c>
      <c r="H393" s="15" t="str">
        <f>IF(B393="","",SUMIF(Vendas!B:B,B393,Vendas!G:G))</f>
        <v/>
      </c>
      <c r="I393" s="15" t="str">
        <f>IF(B393="","",COUNTIF(Vendas!B:B,B393))</f>
        <v/>
      </c>
      <c r="J393" s="15">
        <f t="shared" si="2"/>
        <v>0</v>
      </c>
      <c r="K393" s="15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5" t="str">
        <f t="shared" si="1"/>
        <v>C394</v>
      </c>
      <c r="B394" s="15"/>
      <c r="C394" s="15"/>
      <c r="D394" s="15"/>
      <c r="E394" s="15"/>
      <c r="F394" s="15"/>
      <c r="G394" s="15" t="str">
        <f>IFERROR(MAX(FILTRAR(Vendas!A:A,Vendas!B:B=B394)),"")</f>
        <v/>
      </c>
      <c r="H394" s="15" t="str">
        <f>IF(B394="","",SUMIF(Vendas!B:B,B394,Vendas!G:G))</f>
        <v/>
      </c>
      <c r="I394" s="15" t="str">
        <f>IF(B394="","",COUNTIF(Vendas!B:B,B394))</f>
        <v/>
      </c>
      <c r="J394" s="15">
        <f t="shared" si="2"/>
        <v>0</v>
      </c>
      <c r="K394" s="15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5" t="str">
        <f t="shared" si="1"/>
        <v>C395</v>
      </c>
      <c r="B395" s="15"/>
      <c r="C395" s="15"/>
      <c r="D395" s="15"/>
      <c r="E395" s="15"/>
      <c r="F395" s="15"/>
      <c r="G395" s="15" t="str">
        <f>IFERROR(MAX(FILTRAR(Vendas!A:A,Vendas!B:B=B395)),"")</f>
        <v/>
      </c>
      <c r="H395" s="15" t="str">
        <f>IF(B395="","",SUMIF(Vendas!B:B,B395,Vendas!G:G))</f>
        <v/>
      </c>
      <c r="I395" s="15" t="str">
        <f>IF(B395="","",COUNTIF(Vendas!B:B,B395))</f>
        <v/>
      </c>
      <c r="J395" s="15">
        <f t="shared" si="2"/>
        <v>0</v>
      </c>
      <c r="K395" s="15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5" t="str">
        <f t="shared" si="1"/>
        <v>C396</v>
      </c>
      <c r="B396" s="15"/>
      <c r="C396" s="15"/>
      <c r="D396" s="15"/>
      <c r="E396" s="15"/>
      <c r="F396" s="15"/>
      <c r="G396" s="15" t="str">
        <f>IFERROR(MAX(FILTRAR(Vendas!A:A,Vendas!B:B=B396)),"")</f>
        <v/>
      </c>
      <c r="H396" s="15" t="str">
        <f>IF(B396="","",SUMIF(Vendas!B:B,B396,Vendas!G:G))</f>
        <v/>
      </c>
      <c r="I396" s="15" t="str">
        <f>IF(B396="","",COUNTIF(Vendas!B:B,B396))</f>
        <v/>
      </c>
      <c r="J396" s="15">
        <f t="shared" si="2"/>
        <v>0</v>
      </c>
      <c r="K396" s="15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5" t="str">
        <f t="shared" si="1"/>
        <v>C397</v>
      </c>
      <c r="B397" s="15"/>
      <c r="C397" s="15"/>
      <c r="D397" s="15"/>
      <c r="E397" s="15"/>
      <c r="F397" s="15"/>
      <c r="G397" s="15" t="str">
        <f>IFERROR(MAX(FILTRAR(Vendas!A:A,Vendas!B:B=B397)),"")</f>
        <v/>
      </c>
      <c r="H397" s="15" t="str">
        <f>IF(B397="","",SUMIF(Vendas!B:B,B397,Vendas!G:G))</f>
        <v/>
      </c>
      <c r="I397" s="15" t="str">
        <f>IF(B397="","",COUNTIF(Vendas!B:B,B397))</f>
        <v/>
      </c>
      <c r="J397" s="15">
        <f t="shared" si="2"/>
        <v>0</v>
      </c>
      <c r="K397" s="15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5" t="str">
        <f t="shared" si="1"/>
        <v>C398</v>
      </c>
      <c r="B398" s="15"/>
      <c r="C398" s="15"/>
      <c r="D398" s="15"/>
      <c r="E398" s="15"/>
      <c r="F398" s="15"/>
      <c r="G398" s="15" t="str">
        <f>IFERROR(MAX(FILTRAR(Vendas!A:A,Vendas!B:B=B398)),"")</f>
        <v/>
      </c>
      <c r="H398" s="15" t="str">
        <f>IF(B398="","",SUMIF(Vendas!B:B,B398,Vendas!G:G))</f>
        <v/>
      </c>
      <c r="I398" s="15" t="str">
        <f>IF(B398="","",COUNTIF(Vendas!B:B,B398))</f>
        <v/>
      </c>
      <c r="J398" s="15">
        <f t="shared" si="2"/>
        <v>0</v>
      </c>
      <c r="K398" s="15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5" t="str">
        <f t="shared" si="1"/>
        <v>C399</v>
      </c>
      <c r="B399" s="15"/>
      <c r="C399" s="15"/>
      <c r="D399" s="15"/>
      <c r="E399" s="15"/>
      <c r="F399" s="15"/>
      <c r="G399" s="15" t="str">
        <f>IFERROR(MAX(FILTRAR(Vendas!A:A,Vendas!B:B=B399)),"")</f>
        <v/>
      </c>
      <c r="H399" s="15" t="str">
        <f>IF(B399="","",SUMIF(Vendas!B:B,B399,Vendas!G:G))</f>
        <v/>
      </c>
      <c r="I399" s="15" t="str">
        <f>IF(B399="","",COUNTIF(Vendas!B:B,B399))</f>
        <v/>
      </c>
      <c r="J399" s="15">
        <f t="shared" si="2"/>
        <v>0</v>
      </c>
      <c r="K399" s="15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 t="str">
        <f t="shared" si="1"/>
        <v>C400</v>
      </c>
      <c r="B400" s="9"/>
      <c r="C400" s="9"/>
      <c r="D400" s="9"/>
      <c r="E400" s="9"/>
      <c r="F400" s="9"/>
      <c r="G400" s="9" t="str">
        <f>IFERROR(MAX(FILTRAR(Vendas!A:A,Vendas!B:B=B400)),"")</f>
        <v/>
      </c>
      <c r="H400" s="9" t="str">
        <f>IF(B400="","",SUMIF(Vendas!B:B,B400,Vendas!G:G))</f>
        <v/>
      </c>
      <c r="I400" s="9" t="str">
        <f>IF(B400="","",COUNTIF(Vendas!B:B,B400))</f>
        <v/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1.0"/>
    <col customWidth="1" min="12" max="12" width="14.25"/>
    <col customWidth="1" min="17" max="17" width="13.38"/>
  </cols>
  <sheetData>
    <row r="1">
      <c r="A1" s="17" t="s">
        <v>42</v>
      </c>
      <c r="B1" s="17" t="s">
        <v>2</v>
      </c>
      <c r="C1" s="18" t="s">
        <v>3</v>
      </c>
      <c r="D1" s="17" t="s">
        <v>68</v>
      </c>
      <c r="E1" s="17" t="s">
        <v>69</v>
      </c>
      <c r="F1" s="17" t="s">
        <v>70</v>
      </c>
      <c r="G1" s="17" t="s">
        <v>71</v>
      </c>
      <c r="H1" s="17" t="s">
        <v>72</v>
      </c>
      <c r="I1" s="17" t="s">
        <v>73</v>
      </c>
      <c r="J1" s="17" t="s">
        <v>74</v>
      </c>
      <c r="K1" s="17" t="s">
        <v>75</v>
      </c>
      <c r="L1" s="17" t="s">
        <v>76</v>
      </c>
      <c r="M1" s="18" t="s">
        <v>77</v>
      </c>
      <c r="N1" s="17" t="s">
        <v>78</v>
      </c>
      <c r="O1" s="18" t="s">
        <v>79</v>
      </c>
      <c r="P1" s="18" t="s">
        <v>80</v>
      </c>
      <c r="Q1" s="17" t="s">
        <v>81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9" t="str">
        <f t="shared" ref="A2:A399" si="1">"P" &amp; TEXT(ROW(A2),"000")</f>
        <v>P002</v>
      </c>
      <c r="B2" s="20" t="s">
        <v>41</v>
      </c>
      <c r="C2" s="20" t="s">
        <v>27</v>
      </c>
      <c r="D2" s="20" t="s">
        <v>82</v>
      </c>
      <c r="E2" s="21">
        <v>43.46</v>
      </c>
      <c r="F2" s="22"/>
      <c r="G2" s="22"/>
      <c r="H2" s="22" t="str">
        <f t="shared" ref="H2:H399" si="2">IF(OR(D2="Perfume",D2="Via Aroma"),5,"")</f>
        <v/>
      </c>
      <c r="I2" s="22">
        <f t="shared" ref="I2:I399" si="3">SUM(E2:H2)</f>
        <v>43.46</v>
      </c>
      <c r="J2" s="23">
        <f t="shared" ref="J2:J399" si="4">IF(D2="","",IF(D2="Perfume",1,IF(D2="Via Aroma",0.6,IF(D2="Dicorpo",0.8,""))))</f>
        <v>0.8</v>
      </c>
      <c r="K2" s="22">
        <f t="shared" ref="K2:K399" si="5">IF(I2="","",I2*(1+J2))</f>
        <v>78.228</v>
      </c>
      <c r="L2" s="22">
        <f t="shared" ref="L2:L399" si="6">IF(I2="","",I2*1.3)</f>
        <v>56.498</v>
      </c>
      <c r="M2" s="23">
        <f t="shared" ref="M2:M399" si="7">0.0612</f>
        <v>0.0612</v>
      </c>
      <c r="N2" s="22">
        <f t="shared" ref="N2:N399" si="8">IF(K2="","",K2/(1-M2))</f>
        <v>83.32765232</v>
      </c>
      <c r="O2" s="23">
        <f t="shared" ref="O2:O399" si="9">0.124</f>
        <v>0.124</v>
      </c>
      <c r="P2" s="22">
        <f t="shared" ref="P2:P399" si="10">IF(K2="","",K2/(1-O2))</f>
        <v>89.30136986</v>
      </c>
      <c r="Q2" s="20">
        <f>SUMIFS(Entradas!D:D,Entradas!B:B,B2,Entradas!C:C,C2) - SUMIFS(Vendas!E:E,Vendas!C:C,B2,Vendas!D:D,C2)</f>
        <v>0</v>
      </c>
    </row>
    <row r="3">
      <c r="A3" s="19" t="str">
        <f t="shared" si="1"/>
        <v>P003</v>
      </c>
      <c r="B3" s="20" t="s">
        <v>29</v>
      </c>
      <c r="C3" s="20" t="s">
        <v>19</v>
      </c>
      <c r="D3" s="20" t="s">
        <v>82</v>
      </c>
      <c r="E3" s="21">
        <v>86.93</v>
      </c>
      <c r="F3" s="22"/>
      <c r="G3" s="22"/>
      <c r="H3" s="22" t="str">
        <f t="shared" si="2"/>
        <v/>
      </c>
      <c r="I3" s="22">
        <f t="shared" si="3"/>
        <v>86.93</v>
      </c>
      <c r="J3" s="23">
        <f t="shared" si="4"/>
        <v>0.8</v>
      </c>
      <c r="K3" s="22">
        <f t="shared" si="5"/>
        <v>156.474</v>
      </c>
      <c r="L3" s="22">
        <f t="shared" si="6"/>
        <v>113.009</v>
      </c>
      <c r="M3" s="23">
        <f t="shared" si="7"/>
        <v>0.0612</v>
      </c>
      <c r="N3" s="22">
        <f t="shared" si="8"/>
        <v>166.6744781</v>
      </c>
      <c r="O3" s="23">
        <f t="shared" si="9"/>
        <v>0.124</v>
      </c>
      <c r="P3" s="22">
        <f t="shared" si="10"/>
        <v>178.6232877</v>
      </c>
      <c r="Q3" s="20">
        <f>SUMIFS(Entradas!D:D,Entradas!B:B,B3,Entradas!C:C,C3) - SUMIFS(Vendas!E:E,Vendas!C:C,B3,Vendas!D:D,C3)</f>
        <v>0</v>
      </c>
    </row>
    <row r="4">
      <c r="A4" s="19" t="str">
        <f t="shared" si="1"/>
        <v>P004</v>
      </c>
      <c r="B4" s="20" t="s">
        <v>14</v>
      </c>
      <c r="C4" s="20" t="s">
        <v>21</v>
      </c>
      <c r="D4" s="20" t="s">
        <v>82</v>
      </c>
      <c r="E4" s="21">
        <v>109.62</v>
      </c>
      <c r="F4" s="22"/>
      <c r="G4" s="22"/>
      <c r="H4" s="22" t="str">
        <f t="shared" si="2"/>
        <v/>
      </c>
      <c r="I4" s="22">
        <f t="shared" si="3"/>
        <v>109.62</v>
      </c>
      <c r="J4" s="23">
        <f t="shared" si="4"/>
        <v>0.8</v>
      </c>
      <c r="K4" s="22">
        <f t="shared" si="5"/>
        <v>197.316</v>
      </c>
      <c r="L4" s="22">
        <f t="shared" si="6"/>
        <v>142.506</v>
      </c>
      <c r="M4" s="23">
        <f t="shared" si="7"/>
        <v>0.0612</v>
      </c>
      <c r="N4" s="22">
        <f t="shared" si="8"/>
        <v>210.1789519</v>
      </c>
      <c r="O4" s="23">
        <f t="shared" si="9"/>
        <v>0.124</v>
      </c>
      <c r="P4" s="22">
        <f t="shared" si="10"/>
        <v>225.2465753</v>
      </c>
      <c r="Q4" s="20">
        <f>SUMIFS(Entradas!D:D,Entradas!B:B,B4,Entradas!C:C,C4) - SUMIFS(Vendas!E:E,Vendas!C:C,B4,Vendas!D:D,C4)</f>
        <v>0</v>
      </c>
    </row>
    <row r="5">
      <c r="A5" s="19" t="str">
        <f t="shared" si="1"/>
        <v>P005</v>
      </c>
      <c r="B5" s="20" t="s">
        <v>14</v>
      </c>
      <c r="C5" s="20" t="s">
        <v>19</v>
      </c>
      <c r="D5" s="20" t="s">
        <v>82</v>
      </c>
      <c r="E5" s="21">
        <v>109.62</v>
      </c>
      <c r="F5" s="22"/>
      <c r="G5" s="22"/>
      <c r="H5" s="22" t="str">
        <f t="shared" si="2"/>
        <v/>
      </c>
      <c r="I5" s="22">
        <f t="shared" si="3"/>
        <v>109.62</v>
      </c>
      <c r="J5" s="23">
        <f t="shared" si="4"/>
        <v>0.8</v>
      </c>
      <c r="K5" s="22">
        <f t="shared" si="5"/>
        <v>197.316</v>
      </c>
      <c r="L5" s="22">
        <f t="shared" si="6"/>
        <v>142.506</v>
      </c>
      <c r="M5" s="23">
        <f t="shared" si="7"/>
        <v>0.0612</v>
      </c>
      <c r="N5" s="22">
        <f t="shared" si="8"/>
        <v>210.1789519</v>
      </c>
      <c r="O5" s="23">
        <f t="shared" si="9"/>
        <v>0.124</v>
      </c>
      <c r="P5" s="22">
        <f t="shared" si="10"/>
        <v>225.2465753</v>
      </c>
      <c r="Q5" s="20">
        <f>SUMIFS(Entradas!D:D,Entradas!B:B,B5,Entradas!C:C,C5) - SUMIFS(Vendas!E:E,Vendas!C:C,B5,Vendas!D:D,C5)</f>
        <v>0</v>
      </c>
    </row>
    <row r="6">
      <c r="A6" s="19" t="str">
        <f t="shared" si="1"/>
        <v>P006</v>
      </c>
      <c r="B6" s="20" t="s">
        <v>14</v>
      </c>
      <c r="C6" s="20" t="s">
        <v>15</v>
      </c>
      <c r="D6" s="20" t="s">
        <v>82</v>
      </c>
      <c r="E6" s="21">
        <v>109.62</v>
      </c>
      <c r="F6" s="22"/>
      <c r="G6" s="22"/>
      <c r="H6" s="22" t="str">
        <f t="shared" si="2"/>
        <v/>
      </c>
      <c r="I6" s="22">
        <f t="shared" si="3"/>
        <v>109.62</v>
      </c>
      <c r="J6" s="23">
        <f t="shared" si="4"/>
        <v>0.8</v>
      </c>
      <c r="K6" s="22">
        <f t="shared" si="5"/>
        <v>197.316</v>
      </c>
      <c r="L6" s="22">
        <f t="shared" si="6"/>
        <v>142.506</v>
      </c>
      <c r="M6" s="23">
        <f t="shared" si="7"/>
        <v>0.0612</v>
      </c>
      <c r="N6" s="22">
        <f t="shared" si="8"/>
        <v>210.1789519</v>
      </c>
      <c r="O6" s="23">
        <f t="shared" si="9"/>
        <v>0.124</v>
      </c>
      <c r="P6" s="22">
        <f t="shared" si="10"/>
        <v>225.2465753</v>
      </c>
      <c r="Q6" s="20">
        <f>SUMIFS(Entradas!D:D,Entradas!B:B,B6,Entradas!C:C,C6) - SUMIFS(Vendas!E:E,Vendas!C:C,B6,Vendas!D:D,C6)</f>
        <v>0</v>
      </c>
    </row>
    <row r="7">
      <c r="A7" s="19" t="str">
        <f t="shared" si="1"/>
        <v>P007</v>
      </c>
      <c r="B7" s="20" t="s">
        <v>17</v>
      </c>
      <c r="C7" s="20" t="s">
        <v>21</v>
      </c>
      <c r="D7" s="20" t="s">
        <v>82</v>
      </c>
      <c r="E7" s="21">
        <v>109.62</v>
      </c>
      <c r="F7" s="22"/>
      <c r="G7" s="22"/>
      <c r="H7" s="22" t="str">
        <f t="shared" si="2"/>
        <v/>
      </c>
      <c r="I7" s="22">
        <f t="shared" si="3"/>
        <v>109.62</v>
      </c>
      <c r="J7" s="23">
        <f t="shared" si="4"/>
        <v>0.8</v>
      </c>
      <c r="K7" s="22">
        <f t="shared" si="5"/>
        <v>197.316</v>
      </c>
      <c r="L7" s="22">
        <f t="shared" si="6"/>
        <v>142.506</v>
      </c>
      <c r="M7" s="23">
        <f t="shared" si="7"/>
        <v>0.0612</v>
      </c>
      <c r="N7" s="22">
        <f t="shared" si="8"/>
        <v>210.1789519</v>
      </c>
      <c r="O7" s="23">
        <f t="shared" si="9"/>
        <v>0.124</v>
      </c>
      <c r="P7" s="22">
        <f t="shared" si="10"/>
        <v>225.2465753</v>
      </c>
      <c r="Q7" s="20">
        <f>SUMIFS(Entradas!D:D,Entradas!B:B,B7,Entradas!C:C,C7) - SUMIFS(Vendas!E:E,Vendas!C:C,B7,Vendas!D:D,C7)</f>
        <v>0</v>
      </c>
    </row>
    <row r="8">
      <c r="A8" s="19" t="str">
        <f t="shared" si="1"/>
        <v>P008</v>
      </c>
      <c r="B8" s="20" t="s">
        <v>17</v>
      </c>
      <c r="C8" s="20" t="s">
        <v>15</v>
      </c>
      <c r="D8" s="20" t="s">
        <v>82</v>
      </c>
      <c r="E8" s="21">
        <v>109.62</v>
      </c>
      <c r="F8" s="22"/>
      <c r="G8" s="22"/>
      <c r="H8" s="22" t="str">
        <f t="shared" si="2"/>
        <v/>
      </c>
      <c r="I8" s="22">
        <f t="shared" si="3"/>
        <v>109.62</v>
      </c>
      <c r="J8" s="23">
        <f t="shared" si="4"/>
        <v>0.8</v>
      </c>
      <c r="K8" s="22">
        <f t="shared" si="5"/>
        <v>197.316</v>
      </c>
      <c r="L8" s="22">
        <f t="shared" si="6"/>
        <v>142.506</v>
      </c>
      <c r="M8" s="23">
        <f t="shared" si="7"/>
        <v>0.0612</v>
      </c>
      <c r="N8" s="22">
        <f t="shared" si="8"/>
        <v>210.1789519</v>
      </c>
      <c r="O8" s="23">
        <f t="shared" si="9"/>
        <v>0.124</v>
      </c>
      <c r="P8" s="22">
        <f t="shared" si="10"/>
        <v>225.2465753</v>
      </c>
      <c r="Q8" s="20">
        <f>SUMIFS(Entradas!D:D,Entradas!B:B,B8,Entradas!C:C,C8) - SUMIFS(Vendas!E:E,Vendas!C:C,B8,Vendas!D:D,C8)</f>
        <v>0</v>
      </c>
    </row>
    <row r="9">
      <c r="A9" s="19" t="str">
        <f t="shared" si="1"/>
        <v>P009</v>
      </c>
      <c r="B9" s="20" t="s">
        <v>83</v>
      </c>
      <c r="C9" s="20" t="s">
        <v>21</v>
      </c>
      <c r="D9" s="20" t="s">
        <v>82</v>
      </c>
      <c r="E9" s="21">
        <v>93.23</v>
      </c>
      <c r="F9" s="22"/>
      <c r="G9" s="22"/>
      <c r="H9" s="22" t="str">
        <f t="shared" si="2"/>
        <v/>
      </c>
      <c r="I9" s="22">
        <f t="shared" si="3"/>
        <v>93.23</v>
      </c>
      <c r="J9" s="23">
        <f t="shared" si="4"/>
        <v>0.8</v>
      </c>
      <c r="K9" s="22">
        <f t="shared" si="5"/>
        <v>167.814</v>
      </c>
      <c r="L9" s="22">
        <f t="shared" si="6"/>
        <v>121.199</v>
      </c>
      <c r="M9" s="23">
        <f t="shared" si="7"/>
        <v>0.0612</v>
      </c>
      <c r="N9" s="22">
        <f t="shared" si="8"/>
        <v>178.7537282</v>
      </c>
      <c r="O9" s="23">
        <f t="shared" si="9"/>
        <v>0.124</v>
      </c>
      <c r="P9" s="22">
        <f t="shared" si="10"/>
        <v>191.5684932</v>
      </c>
      <c r="Q9" s="20">
        <f>SUMIFS(Entradas!D:D,Entradas!B:B,B9,Entradas!C:C,C9) - SUMIFS(Vendas!E:E,Vendas!C:C,B9,Vendas!D:D,C9)</f>
        <v>1</v>
      </c>
    </row>
    <row r="10">
      <c r="A10" s="19" t="str">
        <f t="shared" si="1"/>
        <v>P010</v>
      </c>
      <c r="B10" s="20" t="s">
        <v>30</v>
      </c>
      <c r="C10" s="20" t="s">
        <v>15</v>
      </c>
      <c r="D10" s="20" t="s">
        <v>82</v>
      </c>
      <c r="E10" s="21">
        <v>95.76</v>
      </c>
      <c r="F10" s="22"/>
      <c r="G10" s="22"/>
      <c r="H10" s="22" t="str">
        <f t="shared" si="2"/>
        <v/>
      </c>
      <c r="I10" s="22">
        <f t="shared" si="3"/>
        <v>95.76</v>
      </c>
      <c r="J10" s="23">
        <f t="shared" si="4"/>
        <v>0.8</v>
      </c>
      <c r="K10" s="22">
        <f t="shared" si="5"/>
        <v>172.368</v>
      </c>
      <c r="L10" s="22">
        <f t="shared" si="6"/>
        <v>124.488</v>
      </c>
      <c r="M10" s="23">
        <f t="shared" si="7"/>
        <v>0.0612</v>
      </c>
      <c r="N10" s="22">
        <f t="shared" si="8"/>
        <v>183.6046016</v>
      </c>
      <c r="O10" s="23">
        <f t="shared" si="9"/>
        <v>0.124</v>
      </c>
      <c r="P10" s="22">
        <f t="shared" si="10"/>
        <v>196.7671233</v>
      </c>
      <c r="Q10" s="20">
        <f>SUMIFS(Entradas!D:D,Entradas!B:B,B10,Entradas!C:C,C10) - SUMIFS(Vendas!E:E,Vendas!C:C,B10,Vendas!D:D,C10)</f>
        <v>0</v>
      </c>
    </row>
    <row r="11">
      <c r="A11" s="19" t="str">
        <f t="shared" si="1"/>
        <v>P011</v>
      </c>
      <c r="B11" s="20" t="s">
        <v>39</v>
      </c>
      <c r="C11" s="20" t="s">
        <v>19</v>
      </c>
      <c r="D11" s="20" t="s">
        <v>82</v>
      </c>
      <c r="E11" s="21">
        <v>87.56</v>
      </c>
      <c r="F11" s="22"/>
      <c r="G11" s="22"/>
      <c r="H11" s="22" t="str">
        <f t="shared" si="2"/>
        <v/>
      </c>
      <c r="I11" s="22">
        <f t="shared" si="3"/>
        <v>87.56</v>
      </c>
      <c r="J11" s="23">
        <f t="shared" si="4"/>
        <v>0.8</v>
      </c>
      <c r="K11" s="22">
        <f t="shared" si="5"/>
        <v>157.608</v>
      </c>
      <c r="L11" s="22">
        <f t="shared" si="6"/>
        <v>113.828</v>
      </c>
      <c r="M11" s="23">
        <f t="shared" si="7"/>
        <v>0.0612</v>
      </c>
      <c r="N11" s="22">
        <f t="shared" si="8"/>
        <v>167.8824031</v>
      </c>
      <c r="O11" s="23">
        <f t="shared" si="9"/>
        <v>0.124</v>
      </c>
      <c r="P11" s="22">
        <f t="shared" si="10"/>
        <v>179.9178082</v>
      </c>
      <c r="Q11" s="20">
        <f>SUMIFS(Entradas!D:D,Entradas!B:B,B11,Entradas!C:C,C11) - SUMIFS(Vendas!E:E,Vendas!C:C,B11,Vendas!D:D,C11)</f>
        <v>0</v>
      </c>
    </row>
    <row r="12">
      <c r="A12" s="19" t="str">
        <f t="shared" si="1"/>
        <v>P012</v>
      </c>
      <c r="B12" s="20" t="s">
        <v>37</v>
      </c>
      <c r="C12" s="20" t="s">
        <v>21</v>
      </c>
      <c r="D12" s="20" t="s">
        <v>82</v>
      </c>
      <c r="E12" s="21">
        <v>156.87</v>
      </c>
      <c r="F12" s="22"/>
      <c r="G12" s="22"/>
      <c r="H12" s="22" t="str">
        <f t="shared" si="2"/>
        <v/>
      </c>
      <c r="I12" s="22">
        <f t="shared" si="3"/>
        <v>156.87</v>
      </c>
      <c r="J12" s="23">
        <f t="shared" si="4"/>
        <v>0.8</v>
      </c>
      <c r="K12" s="22">
        <f t="shared" si="5"/>
        <v>282.366</v>
      </c>
      <c r="L12" s="22">
        <f t="shared" si="6"/>
        <v>203.931</v>
      </c>
      <c r="M12" s="23">
        <f t="shared" si="7"/>
        <v>0.0612</v>
      </c>
      <c r="N12" s="22">
        <f t="shared" si="8"/>
        <v>300.7733277</v>
      </c>
      <c r="O12" s="23">
        <f t="shared" si="9"/>
        <v>0.124</v>
      </c>
      <c r="P12" s="22">
        <f t="shared" si="10"/>
        <v>322.3356164</v>
      </c>
      <c r="Q12" s="20">
        <f>SUMIFS(Entradas!D:D,Entradas!B:B,B12,Entradas!C:C,C12) - SUMIFS(Vendas!E:E,Vendas!C:C,B12,Vendas!D:D,C12)</f>
        <v>0</v>
      </c>
    </row>
    <row r="13">
      <c r="A13" s="19" t="str">
        <f t="shared" si="1"/>
        <v>P013</v>
      </c>
      <c r="B13" s="20" t="s">
        <v>31</v>
      </c>
      <c r="C13" s="20" t="s">
        <v>15</v>
      </c>
      <c r="D13" s="20" t="s">
        <v>82</v>
      </c>
      <c r="E13" s="21">
        <v>156.87</v>
      </c>
      <c r="F13" s="22"/>
      <c r="G13" s="22"/>
      <c r="H13" s="22" t="str">
        <f t="shared" si="2"/>
        <v/>
      </c>
      <c r="I13" s="22">
        <f t="shared" si="3"/>
        <v>156.87</v>
      </c>
      <c r="J13" s="23">
        <f t="shared" si="4"/>
        <v>0.8</v>
      </c>
      <c r="K13" s="22">
        <f t="shared" si="5"/>
        <v>282.366</v>
      </c>
      <c r="L13" s="22">
        <f t="shared" si="6"/>
        <v>203.931</v>
      </c>
      <c r="M13" s="23">
        <f t="shared" si="7"/>
        <v>0.0612</v>
      </c>
      <c r="N13" s="22">
        <f t="shared" si="8"/>
        <v>300.7733277</v>
      </c>
      <c r="O13" s="23">
        <f t="shared" si="9"/>
        <v>0.124</v>
      </c>
      <c r="P13" s="22">
        <f t="shared" si="10"/>
        <v>322.3356164</v>
      </c>
      <c r="Q13" s="20">
        <f>SUMIFS(Entradas!D:D,Entradas!B:B,B13,Entradas!C:C,C13) - SUMIFS(Vendas!E:E,Vendas!C:C,B13,Vendas!D:D,C13)</f>
        <v>0</v>
      </c>
    </row>
    <row r="14">
      <c r="A14" s="19" t="str">
        <f t="shared" si="1"/>
        <v>P014</v>
      </c>
      <c r="B14" s="20" t="s">
        <v>31</v>
      </c>
      <c r="C14" s="20" t="s">
        <v>19</v>
      </c>
      <c r="D14" s="20" t="s">
        <v>82</v>
      </c>
      <c r="E14" s="21">
        <v>156.87</v>
      </c>
      <c r="F14" s="22"/>
      <c r="G14" s="22"/>
      <c r="H14" s="22" t="str">
        <f t="shared" si="2"/>
        <v/>
      </c>
      <c r="I14" s="22">
        <f t="shared" si="3"/>
        <v>156.87</v>
      </c>
      <c r="J14" s="23">
        <f t="shared" si="4"/>
        <v>0.8</v>
      </c>
      <c r="K14" s="22">
        <f t="shared" si="5"/>
        <v>282.366</v>
      </c>
      <c r="L14" s="22">
        <f t="shared" si="6"/>
        <v>203.931</v>
      </c>
      <c r="M14" s="23">
        <f t="shared" si="7"/>
        <v>0.0612</v>
      </c>
      <c r="N14" s="22">
        <f t="shared" si="8"/>
        <v>300.7733277</v>
      </c>
      <c r="O14" s="23">
        <f t="shared" si="9"/>
        <v>0.124</v>
      </c>
      <c r="P14" s="22">
        <f t="shared" si="10"/>
        <v>322.3356164</v>
      </c>
      <c r="Q14" s="20">
        <f>SUMIFS(Entradas!D:D,Entradas!B:B,B14,Entradas!C:C,C14) - SUMIFS(Vendas!E:E,Vendas!C:C,B14,Vendas!D:D,C14)</f>
        <v>0</v>
      </c>
    </row>
    <row r="15">
      <c r="A15" s="19" t="str">
        <f t="shared" si="1"/>
        <v>P015</v>
      </c>
      <c r="B15" s="20" t="s">
        <v>26</v>
      </c>
      <c r="C15" s="20" t="s">
        <v>27</v>
      </c>
      <c r="D15" s="20" t="s">
        <v>82</v>
      </c>
      <c r="E15" s="21">
        <v>112.77</v>
      </c>
      <c r="F15" s="24">
        <v>10.0</v>
      </c>
      <c r="G15" s="22"/>
      <c r="H15" s="22" t="str">
        <f t="shared" si="2"/>
        <v/>
      </c>
      <c r="I15" s="22">
        <f t="shared" si="3"/>
        <v>122.77</v>
      </c>
      <c r="J15" s="23">
        <f t="shared" si="4"/>
        <v>0.8</v>
      </c>
      <c r="K15" s="22">
        <f t="shared" si="5"/>
        <v>220.986</v>
      </c>
      <c r="L15" s="22">
        <f t="shared" si="6"/>
        <v>159.601</v>
      </c>
      <c r="M15" s="23">
        <f t="shared" si="7"/>
        <v>0.0612</v>
      </c>
      <c r="N15" s="22">
        <f t="shared" si="8"/>
        <v>235.3919898</v>
      </c>
      <c r="O15" s="23">
        <f t="shared" si="9"/>
        <v>0.124</v>
      </c>
      <c r="P15" s="22">
        <f t="shared" si="10"/>
        <v>252.2671233</v>
      </c>
      <c r="Q15" s="20">
        <f>SUMIFS(Entradas!D:D,Entradas!B:B,B15,Entradas!C:C,C15) - SUMIFS(Vendas!E:E,Vendas!C:C,B15,Vendas!D:D,C15)</f>
        <v>0</v>
      </c>
    </row>
    <row r="16">
      <c r="A16" s="19" t="str">
        <f t="shared" si="1"/>
        <v>P016</v>
      </c>
      <c r="B16" s="20" t="s">
        <v>35</v>
      </c>
      <c r="C16" s="20" t="s">
        <v>21</v>
      </c>
      <c r="D16" s="20" t="s">
        <v>82</v>
      </c>
      <c r="E16" s="21">
        <v>111.51</v>
      </c>
      <c r="F16" s="24">
        <v>10.0</v>
      </c>
      <c r="G16" s="22"/>
      <c r="H16" s="22" t="str">
        <f t="shared" si="2"/>
        <v/>
      </c>
      <c r="I16" s="22">
        <f t="shared" si="3"/>
        <v>121.51</v>
      </c>
      <c r="J16" s="23">
        <f t="shared" si="4"/>
        <v>0.8</v>
      </c>
      <c r="K16" s="22">
        <f t="shared" si="5"/>
        <v>218.718</v>
      </c>
      <c r="L16" s="22">
        <f t="shared" si="6"/>
        <v>157.963</v>
      </c>
      <c r="M16" s="23">
        <f t="shared" si="7"/>
        <v>0.0612</v>
      </c>
      <c r="N16" s="22">
        <f t="shared" si="8"/>
        <v>232.9761398</v>
      </c>
      <c r="O16" s="23">
        <f t="shared" si="9"/>
        <v>0.124</v>
      </c>
      <c r="P16" s="22">
        <f t="shared" si="10"/>
        <v>249.6780822</v>
      </c>
      <c r="Q16" s="20">
        <f>SUMIFS(Entradas!D:D,Entradas!B:B,B16,Entradas!C:C,C16) - SUMIFS(Vendas!E:E,Vendas!C:C,B16,Vendas!D:D,C16)</f>
        <v>0</v>
      </c>
    </row>
    <row r="17">
      <c r="A17" s="19" t="str">
        <f t="shared" si="1"/>
        <v>P017</v>
      </c>
      <c r="B17" s="20" t="s">
        <v>33</v>
      </c>
      <c r="C17" s="20" t="s">
        <v>19</v>
      </c>
      <c r="D17" s="20" t="s">
        <v>82</v>
      </c>
      <c r="E17" s="21">
        <v>71.81</v>
      </c>
      <c r="F17" s="24">
        <v>10.0</v>
      </c>
      <c r="G17" s="22"/>
      <c r="H17" s="22" t="str">
        <f t="shared" si="2"/>
        <v/>
      </c>
      <c r="I17" s="22">
        <f t="shared" si="3"/>
        <v>81.81</v>
      </c>
      <c r="J17" s="23">
        <f t="shared" si="4"/>
        <v>0.8</v>
      </c>
      <c r="K17" s="22">
        <f t="shared" si="5"/>
        <v>147.258</v>
      </c>
      <c r="L17" s="22">
        <f t="shared" si="6"/>
        <v>106.353</v>
      </c>
      <c r="M17" s="23">
        <f t="shared" si="7"/>
        <v>0.0612</v>
      </c>
      <c r="N17" s="22">
        <f t="shared" si="8"/>
        <v>156.8576907</v>
      </c>
      <c r="O17" s="23">
        <f t="shared" si="9"/>
        <v>0.124</v>
      </c>
      <c r="P17" s="22">
        <f t="shared" si="10"/>
        <v>168.1027397</v>
      </c>
      <c r="Q17" s="20">
        <f>SUMIFS(Entradas!D:D,Entradas!B:B,B17,Entradas!C:C,C17) - SUMIFS(Vendas!E:E,Vendas!C:C,B17,Vendas!D:D,C17)</f>
        <v>0</v>
      </c>
    </row>
    <row r="18">
      <c r="A18" s="19" t="str">
        <f t="shared" si="1"/>
        <v>P018</v>
      </c>
      <c r="B18" s="20" t="s">
        <v>23</v>
      </c>
      <c r="C18" s="20" t="s">
        <v>24</v>
      </c>
      <c r="D18" s="20" t="s">
        <v>82</v>
      </c>
      <c r="E18" s="21">
        <v>322.0</v>
      </c>
      <c r="F18" s="22"/>
      <c r="G18" s="22"/>
      <c r="H18" s="22" t="str">
        <f t="shared" si="2"/>
        <v/>
      </c>
      <c r="I18" s="22">
        <f t="shared" si="3"/>
        <v>322</v>
      </c>
      <c r="J18" s="23">
        <f t="shared" si="4"/>
        <v>0.8</v>
      </c>
      <c r="K18" s="22">
        <f t="shared" si="5"/>
        <v>579.6</v>
      </c>
      <c r="L18" s="22">
        <f t="shared" si="6"/>
        <v>418.6</v>
      </c>
      <c r="M18" s="23">
        <f t="shared" si="7"/>
        <v>0.0612</v>
      </c>
      <c r="N18" s="22">
        <f t="shared" si="8"/>
        <v>617.3838943</v>
      </c>
      <c r="O18" s="23">
        <f t="shared" si="9"/>
        <v>0.124</v>
      </c>
      <c r="P18" s="22">
        <f t="shared" si="10"/>
        <v>661.6438356</v>
      </c>
      <c r="Q18" s="20">
        <f>SUMIFS(Entradas!D:D,Entradas!B:B,B18,Entradas!C:C,C18) - SUMIFS(Vendas!E:E,Vendas!C:C,B18,Vendas!D:D,C18)</f>
        <v>0</v>
      </c>
    </row>
    <row r="19">
      <c r="A19" s="19" t="str">
        <f t="shared" si="1"/>
        <v>P019</v>
      </c>
      <c r="B19" s="20" t="s">
        <v>84</v>
      </c>
      <c r="C19" s="20"/>
      <c r="D19" s="20" t="s">
        <v>85</v>
      </c>
      <c r="E19" s="25">
        <v>12.5</v>
      </c>
      <c r="F19" s="22">
        <v>1.2</v>
      </c>
      <c r="G19" s="22">
        <v>2.3</v>
      </c>
      <c r="H19" s="22">
        <f t="shared" si="2"/>
        <v>5</v>
      </c>
      <c r="I19" s="22">
        <f t="shared" si="3"/>
        <v>21</v>
      </c>
      <c r="J19" s="23">
        <f t="shared" si="4"/>
        <v>0.6</v>
      </c>
      <c r="K19" s="22">
        <f t="shared" si="5"/>
        <v>33.6</v>
      </c>
      <c r="L19" s="22">
        <f t="shared" si="6"/>
        <v>27.3</v>
      </c>
      <c r="M19" s="23">
        <f t="shared" si="7"/>
        <v>0.0612</v>
      </c>
      <c r="N19" s="22">
        <f t="shared" si="8"/>
        <v>35.79037069</v>
      </c>
      <c r="O19" s="23">
        <f t="shared" si="9"/>
        <v>0.124</v>
      </c>
      <c r="P19" s="22">
        <f t="shared" si="10"/>
        <v>38.35616438</v>
      </c>
      <c r="Q19" s="20">
        <f>SUMIFS(Entradas!D:D,Entradas!B:B,B19,Entradas!C:C,C19) - SUMIFS(Vendas!E:E,Vendas!C:C,B19,Vendas!D:D,C19)</f>
        <v>0</v>
      </c>
    </row>
    <row r="20">
      <c r="A20" s="19" t="str">
        <f t="shared" si="1"/>
        <v>P020</v>
      </c>
      <c r="B20" s="20" t="s">
        <v>86</v>
      </c>
      <c r="C20" s="20"/>
      <c r="D20" s="20" t="s">
        <v>85</v>
      </c>
      <c r="E20" s="25">
        <v>12.5</v>
      </c>
      <c r="F20" s="22">
        <v>1.2</v>
      </c>
      <c r="G20" s="22">
        <v>2.3</v>
      </c>
      <c r="H20" s="22">
        <f t="shared" si="2"/>
        <v>5</v>
      </c>
      <c r="I20" s="22">
        <f t="shared" si="3"/>
        <v>21</v>
      </c>
      <c r="J20" s="23">
        <f t="shared" si="4"/>
        <v>0.6</v>
      </c>
      <c r="K20" s="22">
        <f t="shared" si="5"/>
        <v>33.6</v>
      </c>
      <c r="L20" s="22">
        <f t="shared" si="6"/>
        <v>27.3</v>
      </c>
      <c r="M20" s="23">
        <f t="shared" si="7"/>
        <v>0.0612</v>
      </c>
      <c r="N20" s="22">
        <f t="shared" si="8"/>
        <v>35.79037069</v>
      </c>
      <c r="O20" s="23">
        <f t="shared" si="9"/>
        <v>0.124</v>
      </c>
      <c r="P20" s="22">
        <f t="shared" si="10"/>
        <v>38.35616438</v>
      </c>
      <c r="Q20" s="20">
        <f>SUMIFS(Entradas!D:D,Entradas!B:B,B20,Entradas!C:C,C20) - SUMIFS(Vendas!E:E,Vendas!C:C,B20,Vendas!D:D,C20)</f>
        <v>0</v>
      </c>
    </row>
    <row r="21">
      <c r="A21" s="19" t="str">
        <f t="shared" si="1"/>
        <v>P021</v>
      </c>
      <c r="B21" s="20" t="s">
        <v>87</v>
      </c>
      <c r="C21" s="20"/>
      <c r="D21" s="20" t="s">
        <v>85</v>
      </c>
      <c r="E21" s="25">
        <v>19.5</v>
      </c>
      <c r="F21" s="22">
        <v>1.2</v>
      </c>
      <c r="G21" s="22">
        <v>2.3</v>
      </c>
      <c r="H21" s="22">
        <f t="shared" si="2"/>
        <v>5</v>
      </c>
      <c r="I21" s="22">
        <f t="shared" si="3"/>
        <v>28</v>
      </c>
      <c r="J21" s="23">
        <f t="shared" si="4"/>
        <v>0.6</v>
      </c>
      <c r="K21" s="22">
        <f t="shared" si="5"/>
        <v>44.8</v>
      </c>
      <c r="L21" s="22">
        <f t="shared" si="6"/>
        <v>36.4</v>
      </c>
      <c r="M21" s="23">
        <f t="shared" si="7"/>
        <v>0.0612</v>
      </c>
      <c r="N21" s="22">
        <f t="shared" si="8"/>
        <v>47.72049425</v>
      </c>
      <c r="O21" s="23">
        <f t="shared" si="9"/>
        <v>0.124</v>
      </c>
      <c r="P21" s="22">
        <f t="shared" si="10"/>
        <v>51.14155251</v>
      </c>
      <c r="Q21" s="20">
        <f>SUMIFS(Entradas!D:D,Entradas!B:B,B21,Entradas!C:C,C21) - SUMIFS(Vendas!E:E,Vendas!C:C,B21,Vendas!D:D,C21)</f>
        <v>0</v>
      </c>
    </row>
    <row r="22">
      <c r="A22" s="19" t="str">
        <f t="shared" si="1"/>
        <v>P022</v>
      </c>
      <c r="B22" s="20" t="s">
        <v>88</v>
      </c>
      <c r="C22" s="20"/>
      <c r="D22" s="20" t="s">
        <v>85</v>
      </c>
      <c r="E22" s="25">
        <v>19.5</v>
      </c>
      <c r="F22" s="22">
        <v>1.2</v>
      </c>
      <c r="G22" s="22">
        <v>2.3</v>
      </c>
      <c r="H22" s="22">
        <f t="shared" si="2"/>
        <v>5</v>
      </c>
      <c r="I22" s="22">
        <f t="shared" si="3"/>
        <v>28</v>
      </c>
      <c r="J22" s="23">
        <f t="shared" si="4"/>
        <v>0.6</v>
      </c>
      <c r="K22" s="22">
        <f t="shared" si="5"/>
        <v>44.8</v>
      </c>
      <c r="L22" s="22">
        <f t="shared" si="6"/>
        <v>36.4</v>
      </c>
      <c r="M22" s="23">
        <f t="shared" si="7"/>
        <v>0.0612</v>
      </c>
      <c r="N22" s="22">
        <f t="shared" si="8"/>
        <v>47.72049425</v>
      </c>
      <c r="O22" s="23">
        <f t="shared" si="9"/>
        <v>0.124</v>
      </c>
      <c r="P22" s="22">
        <f t="shared" si="10"/>
        <v>51.14155251</v>
      </c>
      <c r="Q22" s="20">
        <f>SUMIFS(Entradas!D:D,Entradas!B:B,B22,Entradas!C:C,C22) - SUMIFS(Vendas!E:E,Vendas!C:C,B22,Vendas!D:D,C22)</f>
        <v>0</v>
      </c>
    </row>
    <row r="23">
      <c r="A23" s="19" t="str">
        <f t="shared" si="1"/>
        <v>P023</v>
      </c>
      <c r="B23" s="20" t="s">
        <v>89</v>
      </c>
      <c r="C23" s="20"/>
      <c r="D23" s="20" t="s">
        <v>85</v>
      </c>
      <c r="E23" s="25">
        <v>19.0</v>
      </c>
      <c r="F23" s="22">
        <v>1.2</v>
      </c>
      <c r="G23" s="22">
        <v>2.3</v>
      </c>
      <c r="H23" s="22">
        <f t="shared" si="2"/>
        <v>5</v>
      </c>
      <c r="I23" s="22">
        <f t="shared" si="3"/>
        <v>27.5</v>
      </c>
      <c r="J23" s="23">
        <f t="shared" si="4"/>
        <v>0.6</v>
      </c>
      <c r="K23" s="22">
        <f t="shared" si="5"/>
        <v>44</v>
      </c>
      <c r="L23" s="22">
        <f t="shared" si="6"/>
        <v>35.75</v>
      </c>
      <c r="M23" s="23">
        <f t="shared" si="7"/>
        <v>0.0612</v>
      </c>
      <c r="N23" s="22">
        <f t="shared" si="8"/>
        <v>46.86834256</v>
      </c>
      <c r="O23" s="23">
        <f t="shared" si="9"/>
        <v>0.124</v>
      </c>
      <c r="P23" s="22">
        <f t="shared" si="10"/>
        <v>50.2283105</v>
      </c>
      <c r="Q23" s="20">
        <f>SUMIFS(Entradas!D:D,Entradas!B:B,B23,Entradas!C:C,C23) - SUMIFS(Vendas!E:E,Vendas!C:C,B23,Vendas!D:D,C23)</f>
        <v>0</v>
      </c>
    </row>
    <row r="24">
      <c r="A24" s="19" t="str">
        <f t="shared" si="1"/>
        <v>P024</v>
      </c>
      <c r="B24" s="20" t="s">
        <v>90</v>
      </c>
      <c r="C24" s="20"/>
      <c r="D24" s="20" t="s">
        <v>85</v>
      </c>
      <c r="E24" s="25">
        <v>15.4</v>
      </c>
      <c r="F24" s="22">
        <v>1.2</v>
      </c>
      <c r="G24" s="22">
        <v>2.3</v>
      </c>
      <c r="H24" s="22">
        <f t="shared" si="2"/>
        <v>5</v>
      </c>
      <c r="I24" s="22">
        <f t="shared" si="3"/>
        <v>23.9</v>
      </c>
      <c r="J24" s="23">
        <f t="shared" si="4"/>
        <v>0.6</v>
      </c>
      <c r="K24" s="22">
        <f t="shared" si="5"/>
        <v>38.24</v>
      </c>
      <c r="L24" s="22">
        <f t="shared" si="6"/>
        <v>31.07</v>
      </c>
      <c r="M24" s="23">
        <f t="shared" si="7"/>
        <v>0.0612</v>
      </c>
      <c r="N24" s="22">
        <f t="shared" si="8"/>
        <v>40.73285045</v>
      </c>
      <c r="O24" s="23">
        <f t="shared" si="9"/>
        <v>0.124</v>
      </c>
      <c r="P24" s="22">
        <f t="shared" si="10"/>
        <v>43.65296804</v>
      </c>
      <c r="Q24" s="20">
        <f>SUMIFS(Entradas!D:D,Entradas!B:B,B24,Entradas!C:C,C24) - SUMIFS(Vendas!E:E,Vendas!C:C,B24,Vendas!D:D,C24)</f>
        <v>0</v>
      </c>
    </row>
    <row r="25">
      <c r="A25" s="19" t="str">
        <f t="shared" si="1"/>
        <v>P025</v>
      </c>
      <c r="B25" s="20" t="s">
        <v>91</v>
      </c>
      <c r="C25" s="20"/>
      <c r="D25" s="20" t="s">
        <v>85</v>
      </c>
      <c r="E25" s="25">
        <v>19.0</v>
      </c>
      <c r="F25" s="22">
        <v>1.2</v>
      </c>
      <c r="G25" s="22">
        <v>2.3</v>
      </c>
      <c r="H25" s="22">
        <f t="shared" si="2"/>
        <v>5</v>
      </c>
      <c r="I25" s="22">
        <f t="shared" si="3"/>
        <v>27.5</v>
      </c>
      <c r="J25" s="23">
        <f t="shared" si="4"/>
        <v>0.6</v>
      </c>
      <c r="K25" s="22">
        <f t="shared" si="5"/>
        <v>44</v>
      </c>
      <c r="L25" s="22">
        <f t="shared" si="6"/>
        <v>35.75</v>
      </c>
      <c r="M25" s="23">
        <f t="shared" si="7"/>
        <v>0.0612</v>
      </c>
      <c r="N25" s="22">
        <f t="shared" si="8"/>
        <v>46.86834256</v>
      </c>
      <c r="O25" s="23">
        <f t="shared" si="9"/>
        <v>0.124</v>
      </c>
      <c r="P25" s="22">
        <f t="shared" si="10"/>
        <v>50.2283105</v>
      </c>
      <c r="Q25" s="20">
        <f>SUMIFS(Entradas!D:D,Entradas!B:B,B25,Entradas!C:C,C25) - SUMIFS(Vendas!E:E,Vendas!C:C,B25,Vendas!D:D,C25)</f>
        <v>0</v>
      </c>
    </row>
    <row r="26">
      <c r="A26" s="19" t="str">
        <f t="shared" si="1"/>
        <v>P026</v>
      </c>
      <c r="B26" s="20" t="s">
        <v>92</v>
      </c>
      <c r="C26" s="20"/>
      <c r="D26" s="20" t="s">
        <v>85</v>
      </c>
      <c r="E26" s="25">
        <v>22.9</v>
      </c>
      <c r="F26" s="22">
        <v>1.2</v>
      </c>
      <c r="G26" s="22">
        <v>2.3</v>
      </c>
      <c r="H26" s="22">
        <f t="shared" si="2"/>
        <v>5</v>
      </c>
      <c r="I26" s="22">
        <f t="shared" si="3"/>
        <v>31.4</v>
      </c>
      <c r="J26" s="23">
        <f t="shared" si="4"/>
        <v>0.6</v>
      </c>
      <c r="K26" s="22">
        <f t="shared" si="5"/>
        <v>50.24</v>
      </c>
      <c r="L26" s="22">
        <f t="shared" si="6"/>
        <v>40.82</v>
      </c>
      <c r="M26" s="23">
        <f t="shared" si="7"/>
        <v>0.0612</v>
      </c>
      <c r="N26" s="22">
        <f t="shared" si="8"/>
        <v>53.51512569</v>
      </c>
      <c r="O26" s="23">
        <f t="shared" si="9"/>
        <v>0.124</v>
      </c>
      <c r="P26" s="22">
        <f t="shared" si="10"/>
        <v>57.35159817</v>
      </c>
      <c r="Q26" s="20">
        <f>SUMIFS(Entradas!D:D,Entradas!B:B,B26,Entradas!C:C,C26) - SUMIFS(Vendas!E:E,Vendas!C:C,B26,Vendas!D:D,C26)</f>
        <v>0</v>
      </c>
    </row>
    <row r="27">
      <c r="A27" s="19" t="str">
        <f t="shared" si="1"/>
        <v>P027</v>
      </c>
      <c r="B27" s="20" t="s">
        <v>93</v>
      </c>
      <c r="C27" s="20"/>
      <c r="D27" s="20" t="s">
        <v>85</v>
      </c>
      <c r="E27" s="25">
        <v>35.0</v>
      </c>
      <c r="F27" s="22">
        <v>1.2</v>
      </c>
      <c r="G27" s="22">
        <v>2.3</v>
      </c>
      <c r="H27" s="22">
        <f t="shared" si="2"/>
        <v>5</v>
      </c>
      <c r="I27" s="22">
        <f t="shared" si="3"/>
        <v>43.5</v>
      </c>
      <c r="J27" s="23">
        <f t="shared" si="4"/>
        <v>0.6</v>
      </c>
      <c r="K27" s="22">
        <f t="shared" si="5"/>
        <v>69.6</v>
      </c>
      <c r="L27" s="22">
        <f t="shared" si="6"/>
        <v>56.55</v>
      </c>
      <c r="M27" s="23">
        <f t="shared" si="7"/>
        <v>0.0612</v>
      </c>
      <c r="N27" s="22">
        <f t="shared" si="8"/>
        <v>74.13719642</v>
      </c>
      <c r="O27" s="23">
        <f t="shared" si="9"/>
        <v>0.124</v>
      </c>
      <c r="P27" s="22">
        <f t="shared" si="10"/>
        <v>79.45205479</v>
      </c>
      <c r="Q27" s="20">
        <f>SUMIFS(Entradas!D:D,Entradas!B:B,B27,Entradas!C:C,C27) - SUMIFS(Vendas!E:E,Vendas!C:C,B27,Vendas!D:D,C27)</f>
        <v>0</v>
      </c>
    </row>
    <row r="28">
      <c r="A28" s="19" t="str">
        <f t="shared" si="1"/>
        <v>P028</v>
      </c>
      <c r="B28" s="20" t="s">
        <v>94</v>
      </c>
      <c r="C28" s="20"/>
      <c r="D28" s="20" t="s">
        <v>85</v>
      </c>
      <c r="E28" s="25">
        <v>31.5</v>
      </c>
      <c r="F28" s="22">
        <v>1.2</v>
      </c>
      <c r="G28" s="22">
        <v>2.3</v>
      </c>
      <c r="H28" s="22">
        <f t="shared" si="2"/>
        <v>5</v>
      </c>
      <c r="I28" s="22">
        <f t="shared" si="3"/>
        <v>40</v>
      </c>
      <c r="J28" s="23">
        <f t="shared" si="4"/>
        <v>0.6</v>
      </c>
      <c r="K28" s="22">
        <f t="shared" si="5"/>
        <v>64</v>
      </c>
      <c r="L28" s="22">
        <f t="shared" si="6"/>
        <v>52</v>
      </c>
      <c r="M28" s="23">
        <f t="shared" si="7"/>
        <v>0.0612</v>
      </c>
      <c r="N28" s="22">
        <f t="shared" si="8"/>
        <v>68.17213464</v>
      </c>
      <c r="O28" s="23">
        <f t="shared" si="9"/>
        <v>0.124</v>
      </c>
      <c r="P28" s="22">
        <f t="shared" si="10"/>
        <v>73.05936073</v>
      </c>
      <c r="Q28" s="20">
        <f>SUMIFS(Entradas!D:D,Entradas!B:B,B28,Entradas!C:C,C28) - SUMIFS(Vendas!E:E,Vendas!C:C,B28,Vendas!D:D,C28)</f>
        <v>0</v>
      </c>
    </row>
    <row r="29">
      <c r="A29" s="19" t="str">
        <f t="shared" si="1"/>
        <v>P029</v>
      </c>
      <c r="B29" s="20" t="s">
        <v>95</v>
      </c>
      <c r="C29" s="20"/>
      <c r="D29" s="20" t="s">
        <v>85</v>
      </c>
      <c r="E29" s="25">
        <v>14.5</v>
      </c>
      <c r="F29" s="22">
        <v>1.2</v>
      </c>
      <c r="G29" s="22">
        <v>2.3</v>
      </c>
      <c r="H29" s="22">
        <f t="shared" si="2"/>
        <v>5</v>
      </c>
      <c r="I29" s="22">
        <f t="shared" si="3"/>
        <v>23</v>
      </c>
      <c r="J29" s="23">
        <f t="shared" si="4"/>
        <v>0.6</v>
      </c>
      <c r="K29" s="22">
        <f t="shared" si="5"/>
        <v>36.8</v>
      </c>
      <c r="L29" s="22">
        <f t="shared" si="6"/>
        <v>29.9</v>
      </c>
      <c r="M29" s="23">
        <f t="shared" si="7"/>
        <v>0.0612</v>
      </c>
      <c r="N29" s="22">
        <f t="shared" si="8"/>
        <v>39.19897742</v>
      </c>
      <c r="O29" s="23">
        <f t="shared" si="9"/>
        <v>0.124</v>
      </c>
      <c r="P29" s="22">
        <f t="shared" si="10"/>
        <v>42.00913242</v>
      </c>
      <c r="Q29" s="20">
        <f>SUMIFS(Entradas!D:D,Entradas!B:B,B29,Entradas!C:C,C29) - SUMIFS(Vendas!E:E,Vendas!C:C,B29,Vendas!D:D,C29)</f>
        <v>0</v>
      </c>
    </row>
    <row r="30">
      <c r="A30" s="19" t="str">
        <f t="shared" si="1"/>
        <v>P030</v>
      </c>
      <c r="B30" s="20" t="s">
        <v>96</v>
      </c>
      <c r="C30" s="20"/>
      <c r="D30" s="20" t="s">
        <v>85</v>
      </c>
      <c r="E30" s="25">
        <v>14.5</v>
      </c>
      <c r="F30" s="22">
        <v>1.2</v>
      </c>
      <c r="G30" s="22">
        <v>2.3</v>
      </c>
      <c r="H30" s="22">
        <f t="shared" si="2"/>
        <v>5</v>
      </c>
      <c r="I30" s="22">
        <f t="shared" si="3"/>
        <v>23</v>
      </c>
      <c r="J30" s="23">
        <f t="shared" si="4"/>
        <v>0.6</v>
      </c>
      <c r="K30" s="22">
        <f t="shared" si="5"/>
        <v>36.8</v>
      </c>
      <c r="L30" s="22">
        <f t="shared" si="6"/>
        <v>29.9</v>
      </c>
      <c r="M30" s="23">
        <f t="shared" si="7"/>
        <v>0.0612</v>
      </c>
      <c r="N30" s="22">
        <f t="shared" si="8"/>
        <v>39.19897742</v>
      </c>
      <c r="O30" s="23">
        <f t="shared" si="9"/>
        <v>0.124</v>
      </c>
      <c r="P30" s="22">
        <f t="shared" si="10"/>
        <v>42.00913242</v>
      </c>
      <c r="Q30" s="20">
        <f>SUMIFS(Entradas!D:D,Entradas!B:B,B30,Entradas!C:C,C30) - SUMIFS(Vendas!E:E,Vendas!C:C,B30,Vendas!D:D,C30)</f>
        <v>0</v>
      </c>
    </row>
    <row r="31">
      <c r="A31" s="19" t="str">
        <f t="shared" si="1"/>
        <v>P031</v>
      </c>
      <c r="B31" s="20" t="s">
        <v>97</v>
      </c>
      <c r="C31" s="20"/>
      <c r="D31" s="20" t="s">
        <v>85</v>
      </c>
      <c r="E31" s="25">
        <v>14.5</v>
      </c>
      <c r="F31" s="22">
        <v>1.2</v>
      </c>
      <c r="G31" s="22">
        <v>2.3</v>
      </c>
      <c r="H31" s="22">
        <f t="shared" si="2"/>
        <v>5</v>
      </c>
      <c r="I31" s="22">
        <f t="shared" si="3"/>
        <v>23</v>
      </c>
      <c r="J31" s="23">
        <f t="shared" si="4"/>
        <v>0.6</v>
      </c>
      <c r="K31" s="22">
        <f t="shared" si="5"/>
        <v>36.8</v>
      </c>
      <c r="L31" s="22">
        <f t="shared" si="6"/>
        <v>29.9</v>
      </c>
      <c r="M31" s="23">
        <f t="shared" si="7"/>
        <v>0.0612</v>
      </c>
      <c r="N31" s="22">
        <f t="shared" si="8"/>
        <v>39.19897742</v>
      </c>
      <c r="O31" s="23">
        <f t="shared" si="9"/>
        <v>0.124</v>
      </c>
      <c r="P31" s="22">
        <f t="shared" si="10"/>
        <v>42.00913242</v>
      </c>
      <c r="Q31" s="20">
        <f>SUMIFS(Entradas!D:D,Entradas!B:B,B31,Entradas!C:C,C31) - SUMIFS(Vendas!E:E,Vendas!C:C,B31,Vendas!D:D,C31)</f>
        <v>0</v>
      </c>
    </row>
    <row r="32">
      <c r="A32" s="19" t="str">
        <f t="shared" si="1"/>
        <v>P032</v>
      </c>
      <c r="B32" s="20" t="s">
        <v>98</v>
      </c>
      <c r="C32" s="20"/>
      <c r="D32" s="20" t="s">
        <v>85</v>
      </c>
      <c r="E32" s="25">
        <v>7.2</v>
      </c>
      <c r="F32" s="22">
        <v>1.2</v>
      </c>
      <c r="G32" s="22">
        <v>2.3</v>
      </c>
      <c r="H32" s="22">
        <f t="shared" si="2"/>
        <v>5</v>
      </c>
      <c r="I32" s="22">
        <f t="shared" si="3"/>
        <v>15.7</v>
      </c>
      <c r="J32" s="23">
        <f t="shared" si="4"/>
        <v>0.6</v>
      </c>
      <c r="K32" s="22">
        <f t="shared" si="5"/>
        <v>25.12</v>
      </c>
      <c r="L32" s="22">
        <f t="shared" si="6"/>
        <v>20.41</v>
      </c>
      <c r="M32" s="23">
        <f t="shared" si="7"/>
        <v>0.0612</v>
      </c>
      <c r="N32" s="22">
        <f t="shared" si="8"/>
        <v>26.75756285</v>
      </c>
      <c r="O32" s="23">
        <f t="shared" si="9"/>
        <v>0.124</v>
      </c>
      <c r="P32" s="22">
        <f t="shared" si="10"/>
        <v>28.67579909</v>
      </c>
      <c r="Q32" s="20">
        <f>SUMIFS(Entradas!D:D,Entradas!B:B,B32,Entradas!C:C,C32) - SUMIFS(Vendas!E:E,Vendas!C:C,B32,Vendas!D:D,C32)</f>
        <v>0</v>
      </c>
    </row>
    <row r="33">
      <c r="A33" s="19" t="str">
        <f t="shared" si="1"/>
        <v>P033</v>
      </c>
      <c r="B33" s="20" t="s">
        <v>99</v>
      </c>
      <c r="C33" s="20"/>
      <c r="D33" s="20" t="s">
        <v>85</v>
      </c>
      <c r="E33" s="25">
        <v>7.2</v>
      </c>
      <c r="F33" s="22">
        <v>1.2</v>
      </c>
      <c r="G33" s="22">
        <v>2.3</v>
      </c>
      <c r="H33" s="22">
        <f t="shared" si="2"/>
        <v>5</v>
      </c>
      <c r="I33" s="22">
        <f t="shared" si="3"/>
        <v>15.7</v>
      </c>
      <c r="J33" s="23">
        <f t="shared" si="4"/>
        <v>0.6</v>
      </c>
      <c r="K33" s="22">
        <f t="shared" si="5"/>
        <v>25.12</v>
      </c>
      <c r="L33" s="22">
        <f t="shared" si="6"/>
        <v>20.41</v>
      </c>
      <c r="M33" s="23">
        <f t="shared" si="7"/>
        <v>0.0612</v>
      </c>
      <c r="N33" s="22">
        <f t="shared" si="8"/>
        <v>26.75756285</v>
      </c>
      <c r="O33" s="23">
        <f t="shared" si="9"/>
        <v>0.124</v>
      </c>
      <c r="P33" s="22">
        <f t="shared" si="10"/>
        <v>28.67579909</v>
      </c>
      <c r="Q33" s="20">
        <f>SUMIFS(Entradas!D:D,Entradas!B:B,B33,Entradas!C:C,C33) - SUMIFS(Vendas!E:E,Vendas!C:C,B33,Vendas!D:D,C33)</f>
        <v>0</v>
      </c>
    </row>
    <row r="34">
      <c r="A34" s="19" t="str">
        <f t="shared" si="1"/>
        <v>P034</v>
      </c>
      <c r="B34" s="20" t="s">
        <v>100</v>
      </c>
      <c r="C34" s="20"/>
      <c r="D34" s="20" t="s">
        <v>85</v>
      </c>
      <c r="E34" s="25">
        <v>7.2</v>
      </c>
      <c r="F34" s="22">
        <v>1.2</v>
      </c>
      <c r="G34" s="22">
        <v>2.3</v>
      </c>
      <c r="H34" s="22">
        <f t="shared" si="2"/>
        <v>5</v>
      </c>
      <c r="I34" s="22">
        <f t="shared" si="3"/>
        <v>15.7</v>
      </c>
      <c r="J34" s="23">
        <f t="shared" si="4"/>
        <v>0.6</v>
      </c>
      <c r="K34" s="22">
        <f t="shared" si="5"/>
        <v>25.12</v>
      </c>
      <c r="L34" s="22">
        <f t="shared" si="6"/>
        <v>20.41</v>
      </c>
      <c r="M34" s="23">
        <f t="shared" si="7"/>
        <v>0.0612</v>
      </c>
      <c r="N34" s="22">
        <f t="shared" si="8"/>
        <v>26.75756285</v>
      </c>
      <c r="O34" s="23">
        <f t="shared" si="9"/>
        <v>0.124</v>
      </c>
      <c r="P34" s="22">
        <f t="shared" si="10"/>
        <v>28.67579909</v>
      </c>
      <c r="Q34" s="20">
        <f>SUMIFS(Entradas!D:D,Entradas!B:B,B34,Entradas!C:C,C34) - SUMIFS(Vendas!E:E,Vendas!C:C,B34,Vendas!D:D,C34)</f>
        <v>0</v>
      </c>
    </row>
    <row r="35">
      <c r="A35" s="19" t="str">
        <f t="shared" si="1"/>
        <v>P035</v>
      </c>
      <c r="B35" s="20" t="s">
        <v>101</v>
      </c>
      <c r="C35" s="20"/>
      <c r="D35" s="20" t="s">
        <v>85</v>
      </c>
      <c r="E35" s="25">
        <v>7.2</v>
      </c>
      <c r="F35" s="22">
        <v>1.2</v>
      </c>
      <c r="G35" s="22">
        <v>2.3</v>
      </c>
      <c r="H35" s="22">
        <f t="shared" si="2"/>
        <v>5</v>
      </c>
      <c r="I35" s="22">
        <f t="shared" si="3"/>
        <v>15.7</v>
      </c>
      <c r="J35" s="23">
        <f t="shared" si="4"/>
        <v>0.6</v>
      </c>
      <c r="K35" s="22">
        <f t="shared" si="5"/>
        <v>25.12</v>
      </c>
      <c r="L35" s="22">
        <f t="shared" si="6"/>
        <v>20.41</v>
      </c>
      <c r="M35" s="23">
        <f t="shared" si="7"/>
        <v>0.0612</v>
      </c>
      <c r="N35" s="22">
        <f t="shared" si="8"/>
        <v>26.75756285</v>
      </c>
      <c r="O35" s="23">
        <f t="shared" si="9"/>
        <v>0.124</v>
      </c>
      <c r="P35" s="22">
        <f t="shared" si="10"/>
        <v>28.67579909</v>
      </c>
      <c r="Q35" s="20">
        <f>SUMIFS(Entradas!D:D,Entradas!B:B,B35,Entradas!C:C,C35) - SUMIFS(Vendas!E:E,Vendas!C:C,B35,Vendas!D:D,C35)</f>
        <v>0</v>
      </c>
    </row>
    <row r="36">
      <c r="A36" s="19" t="str">
        <f t="shared" si="1"/>
        <v>P036</v>
      </c>
      <c r="B36" s="20" t="s">
        <v>102</v>
      </c>
      <c r="C36" s="20"/>
      <c r="D36" s="20" t="s">
        <v>85</v>
      </c>
      <c r="E36" s="25">
        <v>7.2</v>
      </c>
      <c r="F36" s="22">
        <v>1.2</v>
      </c>
      <c r="G36" s="22">
        <v>2.3</v>
      </c>
      <c r="H36" s="22">
        <f t="shared" si="2"/>
        <v>5</v>
      </c>
      <c r="I36" s="22">
        <f t="shared" si="3"/>
        <v>15.7</v>
      </c>
      <c r="J36" s="23">
        <f t="shared" si="4"/>
        <v>0.6</v>
      </c>
      <c r="K36" s="22">
        <f t="shared" si="5"/>
        <v>25.12</v>
      </c>
      <c r="L36" s="22">
        <f t="shared" si="6"/>
        <v>20.41</v>
      </c>
      <c r="M36" s="23">
        <f t="shared" si="7"/>
        <v>0.0612</v>
      </c>
      <c r="N36" s="22">
        <f t="shared" si="8"/>
        <v>26.75756285</v>
      </c>
      <c r="O36" s="23">
        <f t="shared" si="9"/>
        <v>0.124</v>
      </c>
      <c r="P36" s="22">
        <f t="shared" si="10"/>
        <v>28.67579909</v>
      </c>
      <c r="Q36" s="20">
        <f>SUMIFS(Entradas!D:D,Entradas!B:B,B36,Entradas!C:C,C36) - SUMIFS(Vendas!E:E,Vendas!C:C,B36,Vendas!D:D,C36)</f>
        <v>0</v>
      </c>
    </row>
    <row r="37">
      <c r="A37" s="19" t="str">
        <f t="shared" si="1"/>
        <v>P037</v>
      </c>
      <c r="B37" s="20" t="s">
        <v>103</v>
      </c>
      <c r="C37" s="20"/>
      <c r="D37" s="20" t="s">
        <v>85</v>
      </c>
      <c r="E37" s="25">
        <v>28.9</v>
      </c>
      <c r="F37" s="22">
        <v>1.2</v>
      </c>
      <c r="G37" s="22">
        <v>2.3</v>
      </c>
      <c r="H37" s="22">
        <f t="shared" si="2"/>
        <v>5</v>
      </c>
      <c r="I37" s="22">
        <f t="shared" si="3"/>
        <v>37.4</v>
      </c>
      <c r="J37" s="23">
        <f t="shared" si="4"/>
        <v>0.6</v>
      </c>
      <c r="K37" s="22">
        <f t="shared" si="5"/>
        <v>59.84</v>
      </c>
      <c r="L37" s="22">
        <f t="shared" si="6"/>
        <v>48.62</v>
      </c>
      <c r="M37" s="23">
        <f t="shared" si="7"/>
        <v>0.0612</v>
      </c>
      <c r="N37" s="22">
        <f t="shared" si="8"/>
        <v>63.74094589</v>
      </c>
      <c r="O37" s="23">
        <f t="shared" si="9"/>
        <v>0.124</v>
      </c>
      <c r="P37" s="22">
        <f t="shared" si="10"/>
        <v>68.31050228</v>
      </c>
      <c r="Q37" s="20">
        <f>SUMIFS(Entradas!D:D,Entradas!B:B,B37,Entradas!C:C,C37) - SUMIFS(Vendas!E:E,Vendas!C:C,B37,Vendas!D:D,C37)</f>
        <v>0</v>
      </c>
    </row>
    <row r="38">
      <c r="A38" s="19" t="str">
        <f t="shared" si="1"/>
        <v>P038</v>
      </c>
      <c r="B38" s="20" t="s">
        <v>104</v>
      </c>
      <c r="C38" s="20"/>
      <c r="D38" s="20" t="s">
        <v>85</v>
      </c>
      <c r="E38" s="25">
        <v>28.9</v>
      </c>
      <c r="F38" s="22">
        <v>1.2</v>
      </c>
      <c r="G38" s="22">
        <v>2.3</v>
      </c>
      <c r="H38" s="22">
        <f t="shared" si="2"/>
        <v>5</v>
      </c>
      <c r="I38" s="22">
        <f t="shared" si="3"/>
        <v>37.4</v>
      </c>
      <c r="J38" s="23">
        <f t="shared" si="4"/>
        <v>0.6</v>
      </c>
      <c r="K38" s="22">
        <f t="shared" si="5"/>
        <v>59.84</v>
      </c>
      <c r="L38" s="22">
        <f t="shared" si="6"/>
        <v>48.62</v>
      </c>
      <c r="M38" s="23">
        <f t="shared" si="7"/>
        <v>0.0612</v>
      </c>
      <c r="N38" s="22">
        <f t="shared" si="8"/>
        <v>63.74094589</v>
      </c>
      <c r="O38" s="23">
        <f t="shared" si="9"/>
        <v>0.124</v>
      </c>
      <c r="P38" s="22">
        <f t="shared" si="10"/>
        <v>68.31050228</v>
      </c>
      <c r="Q38" s="20">
        <f>SUMIFS(Entradas!D:D,Entradas!B:B,B38,Entradas!C:C,C38) - SUMIFS(Vendas!E:E,Vendas!C:C,B38,Vendas!D:D,C38)</f>
        <v>0</v>
      </c>
    </row>
    <row r="39">
      <c r="A39" s="19" t="str">
        <f t="shared" si="1"/>
        <v>P039</v>
      </c>
      <c r="B39" s="20" t="s">
        <v>105</v>
      </c>
      <c r="C39" s="20"/>
      <c r="D39" s="20" t="s">
        <v>85</v>
      </c>
      <c r="E39" s="25">
        <v>17.5</v>
      </c>
      <c r="F39" s="22">
        <v>1.2</v>
      </c>
      <c r="G39" s="22">
        <v>2.3</v>
      </c>
      <c r="H39" s="22">
        <f t="shared" si="2"/>
        <v>5</v>
      </c>
      <c r="I39" s="22">
        <f t="shared" si="3"/>
        <v>26</v>
      </c>
      <c r="J39" s="23">
        <f t="shared" si="4"/>
        <v>0.6</v>
      </c>
      <c r="K39" s="22">
        <f t="shared" si="5"/>
        <v>41.6</v>
      </c>
      <c r="L39" s="22">
        <f t="shared" si="6"/>
        <v>33.8</v>
      </c>
      <c r="M39" s="23">
        <f t="shared" si="7"/>
        <v>0.0612</v>
      </c>
      <c r="N39" s="22">
        <f t="shared" si="8"/>
        <v>44.31188752</v>
      </c>
      <c r="O39" s="23">
        <f t="shared" si="9"/>
        <v>0.124</v>
      </c>
      <c r="P39" s="22">
        <f t="shared" si="10"/>
        <v>47.48858447</v>
      </c>
      <c r="Q39" s="20">
        <f>SUMIFS(Entradas!D:D,Entradas!B:B,B39,Entradas!C:C,C39) - SUMIFS(Vendas!E:E,Vendas!C:C,B39,Vendas!D:D,C39)</f>
        <v>0</v>
      </c>
    </row>
    <row r="40">
      <c r="A40" s="19" t="str">
        <f t="shared" si="1"/>
        <v>P040</v>
      </c>
      <c r="B40" s="20" t="s">
        <v>106</v>
      </c>
      <c r="C40" s="20"/>
      <c r="D40" s="20" t="s">
        <v>85</v>
      </c>
      <c r="E40" s="25">
        <v>8.25</v>
      </c>
      <c r="F40" s="22">
        <v>1.2</v>
      </c>
      <c r="G40" s="22">
        <v>2.3</v>
      </c>
      <c r="H40" s="22">
        <f t="shared" si="2"/>
        <v>5</v>
      </c>
      <c r="I40" s="22">
        <f t="shared" si="3"/>
        <v>16.75</v>
      </c>
      <c r="J40" s="23">
        <f t="shared" si="4"/>
        <v>0.6</v>
      </c>
      <c r="K40" s="22">
        <f t="shared" si="5"/>
        <v>26.8</v>
      </c>
      <c r="L40" s="22">
        <f t="shared" si="6"/>
        <v>21.775</v>
      </c>
      <c r="M40" s="23">
        <f t="shared" si="7"/>
        <v>0.0612</v>
      </c>
      <c r="N40" s="22">
        <f t="shared" si="8"/>
        <v>28.54708138</v>
      </c>
      <c r="O40" s="23">
        <f t="shared" si="9"/>
        <v>0.124</v>
      </c>
      <c r="P40" s="22">
        <f t="shared" si="10"/>
        <v>30.59360731</v>
      </c>
      <c r="Q40" s="20">
        <f>SUMIFS(Entradas!D:D,Entradas!B:B,B40,Entradas!C:C,C40) - SUMIFS(Vendas!E:E,Vendas!C:C,B40,Vendas!D:D,C40)</f>
        <v>0</v>
      </c>
    </row>
    <row r="41">
      <c r="A41" s="19" t="str">
        <f t="shared" si="1"/>
        <v>P041</v>
      </c>
      <c r="B41" s="20" t="s">
        <v>107</v>
      </c>
      <c r="C41" s="20"/>
      <c r="D41" s="20" t="s">
        <v>85</v>
      </c>
      <c r="E41" s="25">
        <v>8.25</v>
      </c>
      <c r="F41" s="22">
        <v>1.2</v>
      </c>
      <c r="G41" s="22">
        <v>2.3</v>
      </c>
      <c r="H41" s="22">
        <f t="shared" si="2"/>
        <v>5</v>
      </c>
      <c r="I41" s="22">
        <f t="shared" si="3"/>
        <v>16.75</v>
      </c>
      <c r="J41" s="23">
        <f t="shared" si="4"/>
        <v>0.6</v>
      </c>
      <c r="K41" s="22">
        <f t="shared" si="5"/>
        <v>26.8</v>
      </c>
      <c r="L41" s="22">
        <f t="shared" si="6"/>
        <v>21.775</v>
      </c>
      <c r="M41" s="23">
        <f t="shared" si="7"/>
        <v>0.0612</v>
      </c>
      <c r="N41" s="22">
        <f t="shared" si="8"/>
        <v>28.54708138</v>
      </c>
      <c r="O41" s="23">
        <f t="shared" si="9"/>
        <v>0.124</v>
      </c>
      <c r="P41" s="22">
        <f t="shared" si="10"/>
        <v>30.59360731</v>
      </c>
      <c r="Q41" s="20">
        <f>SUMIFS(Entradas!D:D,Entradas!B:B,B41,Entradas!C:C,C41) - SUMIFS(Vendas!E:E,Vendas!C:C,B41,Vendas!D:D,C41)</f>
        <v>0</v>
      </c>
    </row>
    <row r="42">
      <c r="A42" s="19" t="str">
        <f t="shared" si="1"/>
        <v>P042</v>
      </c>
      <c r="B42" s="20" t="s">
        <v>108</v>
      </c>
      <c r="C42" s="20"/>
      <c r="D42" s="20" t="s">
        <v>85</v>
      </c>
      <c r="E42" s="25">
        <v>8.25</v>
      </c>
      <c r="F42" s="22">
        <v>1.2</v>
      </c>
      <c r="G42" s="22">
        <v>2.3</v>
      </c>
      <c r="H42" s="22">
        <f t="shared" si="2"/>
        <v>5</v>
      </c>
      <c r="I42" s="22">
        <f t="shared" si="3"/>
        <v>16.75</v>
      </c>
      <c r="J42" s="23">
        <f t="shared" si="4"/>
        <v>0.6</v>
      </c>
      <c r="K42" s="22">
        <f t="shared" si="5"/>
        <v>26.8</v>
      </c>
      <c r="L42" s="22">
        <f t="shared" si="6"/>
        <v>21.775</v>
      </c>
      <c r="M42" s="23">
        <f t="shared" si="7"/>
        <v>0.0612</v>
      </c>
      <c r="N42" s="22">
        <f t="shared" si="8"/>
        <v>28.54708138</v>
      </c>
      <c r="O42" s="23">
        <f t="shared" si="9"/>
        <v>0.124</v>
      </c>
      <c r="P42" s="22">
        <f t="shared" si="10"/>
        <v>30.59360731</v>
      </c>
      <c r="Q42" s="20">
        <f>SUMIFS(Entradas!D:D,Entradas!B:B,B42,Entradas!C:C,C42) - SUMIFS(Vendas!E:E,Vendas!C:C,B42,Vendas!D:D,C42)</f>
        <v>0</v>
      </c>
    </row>
    <row r="43">
      <c r="A43" s="19" t="str">
        <f t="shared" si="1"/>
        <v>P043</v>
      </c>
      <c r="B43" s="20" t="s">
        <v>109</v>
      </c>
      <c r="C43" s="20"/>
      <c r="D43" s="20" t="s">
        <v>85</v>
      </c>
      <c r="E43" s="25">
        <v>8.25</v>
      </c>
      <c r="F43" s="22">
        <v>1.2</v>
      </c>
      <c r="G43" s="22">
        <v>2.3</v>
      </c>
      <c r="H43" s="22">
        <f t="shared" si="2"/>
        <v>5</v>
      </c>
      <c r="I43" s="22">
        <f t="shared" si="3"/>
        <v>16.75</v>
      </c>
      <c r="J43" s="23">
        <f t="shared" si="4"/>
        <v>0.6</v>
      </c>
      <c r="K43" s="22">
        <f t="shared" si="5"/>
        <v>26.8</v>
      </c>
      <c r="L43" s="22">
        <f t="shared" si="6"/>
        <v>21.775</v>
      </c>
      <c r="M43" s="23">
        <f t="shared" si="7"/>
        <v>0.0612</v>
      </c>
      <c r="N43" s="22">
        <f t="shared" si="8"/>
        <v>28.54708138</v>
      </c>
      <c r="O43" s="23">
        <f t="shared" si="9"/>
        <v>0.124</v>
      </c>
      <c r="P43" s="22">
        <f t="shared" si="10"/>
        <v>30.59360731</v>
      </c>
      <c r="Q43" s="20">
        <f>SUMIFS(Entradas!D:D,Entradas!B:B,B43,Entradas!C:C,C43) - SUMIFS(Vendas!E:E,Vendas!C:C,B43,Vendas!D:D,C43)</f>
        <v>0</v>
      </c>
    </row>
    <row r="44">
      <c r="A44" s="19" t="str">
        <f t="shared" si="1"/>
        <v>P044</v>
      </c>
      <c r="B44" s="20" t="s">
        <v>110</v>
      </c>
      <c r="C44" s="20"/>
      <c r="D44" s="20" t="s">
        <v>85</v>
      </c>
      <c r="E44" s="25">
        <v>8.25</v>
      </c>
      <c r="F44" s="22">
        <v>1.2</v>
      </c>
      <c r="G44" s="22">
        <v>2.3</v>
      </c>
      <c r="H44" s="22">
        <f t="shared" si="2"/>
        <v>5</v>
      </c>
      <c r="I44" s="22">
        <f t="shared" si="3"/>
        <v>16.75</v>
      </c>
      <c r="J44" s="23">
        <f t="shared" si="4"/>
        <v>0.6</v>
      </c>
      <c r="K44" s="22">
        <f t="shared" si="5"/>
        <v>26.8</v>
      </c>
      <c r="L44" s="22">
        <f t="shared" si="6"/>
        <v>21.775</v>
      </c>
      <c r="M44" s="23">
        <f t="shared" si="7"/>
        <v>0.0612</v>
      </c>
      <c r="N44" s="22">
        <f t="shared" si="8"/>
        <v>28.54708138</v>
      </c>
      <c r="O44" s="23">
        <f t="shared" si="9"/>
        <v>0.124</v>
      </c>
      <c r="P44" s="22">
        <f t="shared" si="10"/>
        <v>30.59360731</v>
      </c>
      <c r="Q44" s="20">
        <f>SUMIFS(Entradas!D:D,Entradas!B:B,B44,Entradas!C:C,C44) - SUMIFS(Vendas!E:E,Vendas!C:C,B44,Vendas!D:D,C44)</f>
        <v>0</v>
      </c>
    </row>
    <row r="45">
      <c r="A45" s="19" t="str">
        <f t="shared" si="1"/>
        <v>P045</v>
      </c>
      <c r="B45" s="20" t="s">
        <v>111</v>
      </c>
      <c r="C45" s="20"/>
      <c r="D45" s="20" t="s">
        <v>85</v>
      </c>
      <c r="E45" s="25">
        <v>8.25</v>
      </c>
      <c r="F45" s="22">
        <v>1.2</v>
      </c>
      <c r="G45" s="22">
        <v>2.3</v>
      </c>
      <c r="H45" s="22">
        <f t="shared" si="2"/>
        <v>5</v>
      </c>
      <c r="I45" s="22">
        <f t="shared" si="3"/>
        <v>16.75</v>
      </c>
      <c r="J45" s="23">
        <f t="shared" si="4"/>
        <v>0.6</v>
      </c>
      <c r="K45" s="22">
        <f t="shared" si="5"/>
        <v>26.8</v>
      </c>
      <c r="L45" s="22">
        <f t="shared" si="6"/>
        <v>21.775</v>
      </c>
      <c r="M45" s="23">
        <f t="shared" si="7"/>
        <v>0.0612</v>
      </c>
      <c r="N45" s="22">
        <f t="shared" si="8"/>
        <v>28.54708138</v>
      </c>
      <c r="O45" s="23">
        <f t="shared" si="9"/>
        <v>0.124</v>
      </c>
      <c r="P45" s="22">
        <f t="shared" si="10"/>
        <v>30.59360731</v>
      </c>
      <c r="Q45" s="20">
        <f>SUMIFS(Entradas!D:D,Entradas!B:B,B45,Entradas!C:C,C45) - SUMIFS(Vendas!E:E,Vendas!C:C,B45,Vendas!D:D,C45)</f>
        <v>0</v>
      </c>
    </row>
    <row r="46">
      <c r="A46" s="19" t="str">
        <f t="shared" si="1"/>
        <v>P046</v>
      </c>
      <c r="B46" s="20" t="s">
        <v>112</v>
      </c>
      <c r="C46" s="20"/>
      <c r="D46" s="20" t="s">
        <v>85</v>
      </c>
      <c r="E46" s="25">
        <v>8.25</v>
      </c>
      <c r="F46" s="22">
        <v>1.2</v>
      </c>
      <c r="G46" s="22">
        <v>2.3</v>
      </c>
      <c r="H46" s="22">
        <f t="shared" si="2"/>
        <v>5</v>
      </c>
      <c r="I46" s="22">
        <f t="shared" si="3"/>
        <v>16.75</v>
      </c>
      <c r="J46" s="23">
        <f t="shared" si="4"/>
        <v>0.6</v>
      </c>
      <c r="K46" s="22">
        <f t="shared" si="5"/>
        <v>26.8</v>
      </c>
      <c r="L46" s="22">
        <f t="shared" si="6"/>
        <v>21.775</v>
      </c>
      <c r="M46" s="23">
        <f t="shared" si="7"/>
        <v>0.0612</v>
      </c>
      <c r="N46" s="22">
        <f t="shared" si="8"/>
        <v>28.54708138</v>
      </c>
      <c r="O46" s="23">
        <f t="shared" si="9"/>
        <v>0.124</v>
      </c>
      <c r="P46" s="22">
        <f t="shared" si="10"/>
        <v>30.59360731</v>
      </c>
      <c r="Q46" s="20">
        <f>SUMIFS(Entradas!D:D,Entradas!B:B,B46,Entradas!C:C,C46) - SUMIFS(Vendas!E:E,Vendas!C:C,B46,Vendas!D:D,C46)</f>
        <v>0</v>
      </c>
    </row>
    <row r="47">
      <c r="A47" s="19" t="str">
        <f t="shared" si="1"/>
        <v>P047</v>
      </c>
      <c r="B47" s="20" t="s">
        <v>113</v>
      </c>
      <c r="C47" s="20"/>
      <c r="D47" s="20" t="s">
        <v>85</v>
      </c>
      <c r="E47" s="25">
        <v>8.25</v>
      </c>
      <c r="F47" s="22">
        <v>1.2</v>
      </c>
      <c r="G47" s="22">
        <v>2.3</v>
      </c>
      <c r="H47" s="22">
        <f t="shared" si="2"/>
        <v>5</v>
      </c>
      <c r="I47" s="22">
        <f t="shared" si="3"/>
        <v>16.75</v>
      </c>
      <c r="J47" s="23">
        <f t="shared" si="4"/>
        <v>0.6</v>
      </c>
      <c r="K47" s="22">
        <f t="shared" si="5"/>
        <v>26.8</v>
      </c>
      <c r="L47" s="22">
        <f t="shared" si="6"/>
        <v>21.775</v>
      </c>
      <c r="M47" s="23">
        <f t="shared" si="7"/>
        <v>0.0612</v>
      </c>
      <c r="N47" s="22">
        <f t="shared" si="8"/>
        <v>28.54708138</v>
      </c>
      <c r="O47" s="23">
        <f t="shared" si="9"/>
        <v>0.124</v>
      </c>
      <c r="P47" s="22">
        <f t="shared" si="10"/>
        <v>30.59360731</v>
      </c>
      <c r="Q47" s="20">
        <f>SUMIFS(Entradas!D:D,Entradas!B:B,B47,Entradas!C:C,C47) - SUMIFS(Vendas!E:E,Vendas!C:C,B47,Vendas!D:D,C47)</f>
        <v>0</v>
      </c>
    </row>
    <row r="48">
      <c r="A48" s="19" t="str">
        <f t="shared" si="1"/>
        <v>P048</v>
      </c>
      <c r="B48" s="20" t="s">
        <v>114</v>
      </c>
      <c r="C48" s="20"/>
      <c r="D48" s="20" t="s">
        <v>85</v>
      </c>
      <c r="E48" s="25">
        <v>6.9</v>
      </c>
      <c r="F48" s="22">
        <v>1.2</v>
      </c>
      <c r="G48" s="22">
        <v>2.3</v>
      </c>
      <c r="H48" s="22">
        <f t="shared" si="2"/>
        <v>5</v>
      </c>
      <c r="I48" s="22">
        <f t="shared" si="3"/>
        <v>15.4</v>
      </c>
      <c r="J48" s="23">
        <f t="shared" si="4"/>
        <v>0.6</v>
      </c>
      <c r="K48" s="22">
        <f t="shared" si="5"/>
        <v>24.64</v>
      </c>
      <c r="L48" s="22">
        <f t="shared" si="6"/>
        <v>20.02</v>
      </c>
      <c r="M48" s="23">
        <f t="shared" si="7"/>
        <v>0.0612</v>
      </c>
      <c r="N48" s="22">
        <f t="shared" si="8"/>
        <v>26.24627184</v>
      </c>
      <c r="O48" s="23">
        <f t="shared" si="9"/>
        <v>0.124</v>
      </c>
      <c r="P48" s="22">
        <f t="shared" si="10"/>
        <v>28.12785388</v>
      </c>
      <c r="Q48" s="20">
        <f>SUMIFS(Entradas!D:D,Entradas!B:B,B48,Entradas!C:C,C48) - SUMIFS(Vendas!E:E,Vendas!C:C,B48,Vendas!D:D,C48)</f>
        <v>0</v>
      </c>
    </row>
    <row r="49">
      <c r="A49" s="19" t="str">
        <f t="shared" si="1"/>
        <v>P049</v>
      </c>
      <c r="B49" s="20" t="s">
        <v>115</v>
      </c>
      <c r="C49" s="20"/>
      <c r="D49" s="20" t="s">
        <v>85</v>
      </c>
      <c r="E49" s="25">
        <v>8.25</v>
      </c>
      <c r="F49" s="22">
        <v>1.2</v>
      </c>
      <c r="G49" s="22">
        <v>2.3</v>
      </c>
      <c r="H49" s="22">
        <f t="shared" si="2"/>
        <v>5</v>
      </c>
      <c r="I49" s="22">
        <f t="shared" si="3"/>
        <v>16.75</v>
      </c>
      <c r="J49" s="23">
        <f t="shared" si="4"/>
        <v>0.6</v>
      </c>
      <c r="K49" s="22">
        <f t="shared" si="5"/>
        <v>26.8</v>
      </c>
      <c r="L49" s="22">
        <f t="shared" si="6"/>
        <v>21.775</v>
      </c>
      <c r="M49" s="23">
        <f t="shared" si="7"/>
        <v>0.0612</v>
      </c>
      <c r="N49" s="22">
        <f t="shared" si="8"/>
        <v>28.54708138</v>
      </c>
      <c r="O49" s="23">
        <f t="shared" si="9"/>
        <v>0.124</v>
      </c>
      <c r="P49" s="22">
        <f t="shared" si="10"/>
        <v>30.59360731</v>
      </c>
      <c r="Q49" s="20">
        <f>SUMIFS(Entradas!D:D,Entradas!B:B,B49,Entradas!C:C,C49) - SUMIFS(Vendas!E:E,Vendas!C:C,B49,Vendas!D:D,C49)</f>
        <v>0</v>
      </c>
    </row>
    <row r="50">
      <c r="A50" s="19" t="str">
        <f t="shared" si="1"/>
        <v>P050</v>
      </c>
      <c r="B50" s="20" t="s">
        <v>116</v>
      </c>
      <c r="C50" s="20"/>
      <c r="D50" s="20" t="s">
        <v>85</v>
      </c>
      <c r="E50" s="25">
        <v>8.25</v>
      </c>
      <c r="F50" s="22">
        <v>1.2</v>
      </c>
      <c r="G50" s="22">
        <v>2.3</v>
      </c>
      <c r="H50" s="22">
        <f t="shared" si="2"/>
        <v>5</v>
      </c>
      <c r="I50" s="22">
        <f t="shared" si="3"/>
        <v>16.75</v>
      </c>
      <c r="J50" s="23">
        <f t="shared" si="4"/>
        <v>0.6</v>
      </c>
      <c r="K50" s="22">
        <f t="shared" si="5"/>
        <v>26.8</v>
      </c>
      <c r="L50" s="22">
        <f t="shared" si="6"/>
        <v>21.775</v>
      </c>
      <c r="M50" s="23">
        <f t="shared" si="7"/>
        <v>0.0612</v>
      </c>
      <c r="N50" s="22">
        <f t="shared" si="8"/>
        <v>28.54708138</v>
      </c>
      <c r="O50" s="23">
        <f t="shared" si="9"/>
        <v>0.124</v>
      </c>
      <c r="P50" s="22">
        <f t="shared" si="10"/>
        <v>30.59360731</v>
      </c>
      <c r="Q50" s="20">
        <f>SUMIFS(Entradas!D:D,Entradas!B:B,B50,Entradas!C:C,C50) - SUMIFS(Vendas!E:E,Vendas!C:C,B50,Vendas!D:D,C50)</f>
        <v>0</v>
      </c>
    </row>
    <row r="51">
      <c r="A51" s="19" t="str">
        <f t="shared" si="1"/>
        <v>P051</v>
      </c>
      <c r="B51" s="20" t="s">
        <v>117</v>
      </c>
      <c r="C51" s="20"/>
      <c r="D51" s="20" t="s">
        <v>85</v>
      </c>
      <c r="E51" s="25">
        <v>8.25</v>
      </c>
      <c r="F51" s="22">
        <v>1.2</v>
      </c>
      <c r="G51" s="22">
        <v>2.3</v>
      </c>
      <c r="H51" s="22">
        <f t="shared" si="2"/>
        <v>5</v>
      </c>
      <c r="I51" s="22">
        <f t="shared" si="3"/>
        <v>16.75</v>
      </c>
      <c r="J51" s="23">
        <f t="shared" si="4"/>
        <v>0.6</v>
      </c>
      <c r="K51" s="22">
        <f t="shared" si="5"/>
        <v>26.8</v>
      </c>
      <c r="L51" s="22">
        <f t="shared" si="6"/>
        <v>21.775</v>
      </c>
      <c r="M51" s="23">
        <f t="shared" si="7"/>
        <v>0.0612</v>
      </c>
      <c r="N51" s="22">
        <f t="shared" si="8"/>
        <v>28.54708138</v>
      </c>
      <c r="O51" s="23">
        <f t="shared" si="9"/>
        <v>0.124</v>
      </c>
      <c r="P51" s="22">
        <f t="shared" si="10"/>
        <v>30.59360731</v>
      </c>
      <c r="Q51" s="20">
        <f>SUMIFS(Entradas!D:D,Entradas!B:B,B51,Entradas!C:C,C51) - SUMIFS(Vendas!E:E,Vendas!C:C,B51,Vendas!D:D,C51)</f>
        <v>0</v>
      </c>
    </row>
    <row r="52">
      <c r="A52" s="19" t="str">
        <f t="shared" si="1"/>
        <v>P052</v>
      </c>
      <c r="B52" s="20" t="s">
        <v>118</v>
      </c>
      <c r="C52" s="20"/>
      <c r="D52" s="20" t="s">
        <v>85</v>
      </c>
      <c r="E52" s="25">
        <v>21.9</v>
      </c>
      <c r="F52" s="22">
        <v>1.2</v>
      </c>
      <c r="G52" s="22">
        <v>2.3</v>
      </c>
      <c r="H52" s="22">
        <f t="shared" si="2"/>
        <v>5</v>
      </c>
      <c r="I52" s="22">
        <f t="shared" si="3"/>
        <v>30.4</v>
      </c>
      <c r="J52" s="23">
        <f t="shared" si="4"/>
        <v>0.6</v>
      </c>
      <c r="K52" s="22">
        <f t="shared" si="5"/>
        <v>48.64</v>
      </c>
      <c r="L52" s="22">
        <f t="shared" si="6"/>
        <v>39.52</v>
      </c>
      <c r="M52" s="23">
        <f t="shared" si="7"/>
        <v>0.0612</v>
      </c>
      <c r="N52" s="22">
        <f t="shared" si="8"/>
        <v>51.81082233</v>
      </c>
      <c r="O52" s="23">
        <f t="shared" si="9"/>
        <v>0.124</v>
      </c>
      <c r="P52" s="22">
        <f t="shared" si="10"/>
        <v>55.52511416</v>
      </c>
      <c r="Q52" s="20">
        <f>SUMIFS(Entradas!D:D,Entradas!B:B,B52,Entradas!C:C,C52) - SUMIFS(Vendas!E:E,Vendas!C:C,B52,Vendas!D:D,C52)</f>
        <v>0</v>
      </c>
    </row>
    <row r="53">
      <c r="A53" s="19" t="str">
        <f t="shared" si="1"/>
        <v>P053</v>
      </c>
      <c r="B53" s="20" t="s">
        <v>119</v>
      </c>
      <c r="C53" s="20"/>
      <c r="D53" s="20" t="s">
        <v>85</v>
      </c>
      <c r="E53" s="25">
        <v>12.5</v>
      </c>
      <c r="F53" s="22">
        <v>1.66</v>
      </c>
      <c r="G53" s="22">
        <v>2.08</v>
      </c>
      <c r="H53" s="22">
        <f t="shared" si="2"/>
        <v>5</v>
      </c>
      <c r="I53" s="22">
        <f t="shared" si="3"/>
        <v>21.24</v>
      </c>
      <c r="J53" s="23">
        <f t="shared" si="4"/>
        <v>0.6</v>
      </c>
      <c r="K53" s="22">
        <f t="shared" si="5"/>
        <v>33.984</v>
      </c>
      <c r="L53" s="22">
        <f t="shared" si="6"/>
        <v>27.612</v>
      </c>
      <c r="M53" s="23">
        <f t="shared" si="7"/>
        <v>0.0612</v>
      </c>
      <c r="N53" s="22">
        <f t="shared" si="8"/>
        <v>36.19940349</v>
      </c>
      <c r="O53" s="23">
        <f t="shared" si="9"/>
        <v>0.124</v>
      </c>
      <c r="P53" s="22">
        <f t="shared" si="10"/>
        <v>38.79452055</v>
      </c>
      <c r="Q53" s="20">
        <f>SUMIFS(Entradas!D:D,Entradas!B:B,B53,Entradas!C:C,C53) - SUMIFS(Vendas!E:E,Vendas!C:C,B53,Vendas!D:D,C53)</f>
        <v>0</v>
      </c>
    </row>
    <row r="54">
      <c r="A54" s="19" t="str">
        <f t="shared" si="1"/>
        <v>P054</v>
      </c>
      <c r="B54" s="20" t="s">
        <v>120</v>
      </c>
      <c r="C54" s="20"/>
      <c r="D54" s="20" t="s">
        <v>85</v>
      </c>
      <c r="E54" s="25">
        <v>12.5</v>
      </c>
      <c r="F54" s="22">
        <v>1.66</v>
      </c>
      <c r="G54" s="22">
        <v>2.08</v>
      </c>
      <c r="H54" s="22">
        <f t="shared" si="2"/>
        <v>5</v>
      </c>
      <c r="I54" s="22">
        <f t="shared" si="3"/>
        <v>21.24</v>
      </c>
      <c r="J54" s="23">
        <f t="shared" si="4"/>
        <v>0.6</v>
      </c>
      <c r="K54" s="22">
        <f t="shared" si="5"/>
        <v>33.984</v>
      </c>
      <c r="L54" s="22">
        <f t="shared" si="6"/>
        <v>27.612</v>
      </c>
      <c r="M54" s="23">
        <f t="shared" si="7"/>
        <v>0.0612</v>
      </c>
      <c r="N54" s="22">
        <f t="shared" si="8"/>
        <v>36.19940349</v>
      </c>
      <c r="O54" s="23">
        <f t="shared" si="9"/>
        <v>0.124</v>
      </c>
      <c r="P54" s="22">
        <f t="shared" si="10"/>
        <v>38.79452055</v>
      </c>
      <c r="Q54" s="20">
        <f>SUMIFS(Entradas!D:D,Entradas!B:B,B54,Entradas!C:C,C54) - SUMIFS(Vendas!E:E,Vendas!C:C,B54,Vendas!D:D,C54)</f>
        <v>0</v>
      </c>
    </row>
    <row r="55">
      <c r="A55" s="19" t="str">
        <f t="shared" si="1"/>
        <v>P055</v>
      </c>
      <c r="B55" s="20" t="s">
        <v>121</v>
      </c>
      <c r="C55" s="20"/>
      <c r="D55" s="20" t="s">
        <v>85</v>
      </c>
      <c r="E55" s="25">
        <v>19.5</v>
      </c>
      <c r="F55" s="22">
        <v>2.58</v>
      </c>
      <c r="G55" s="22">
        <v>3.24</v>
      </c>
      <c r="H55" s="22">
        <f t="shared" si="2"/>
        <v>5</v>
      </c>
      <c r="I55" s="22">
        <f t="shared" si="3"/>
        <v>30.32</v>
      </c>
      <c r="J55" s="23">
        <f t="shared" si="4"/>
        <v>0.6</v>
      </c>
      <c r="K55" s="22">
        <f t="shared" si="5"/>
        <v>48.512</v>
      </c>
      <c r="L55" s="22">
        <f t="shared" si="6"/>
        <v>39.416</v>
      </c>
      <c r="M55" s="23">
        <f t="shared" si="7"/>
        <v>0.0612</v>
      </c>
      <c r="N55" s="22">
        <f t="shared" si="8"/>
        <v>51.67447806</v>
      </c>
      <c r="O55" s="23">
        <f t="shared" si="9"/>
        <v>0.124</v>
      </c>
      <c r="P55" s="22">
        <f t="shared" si="10"/>
        <v>55.37899543</v>
      </c>
      <c r="Q55" s="20">
        <f>SUMIFS(Entradas!D:D,Entradas!B:B,B55,Entradas!C:C,C55) - SUMIFS(Vendas!E:E,Vendas!C:C,B55,Vendas!D:D,C55)</f>
        <v>0</v>
      </c>
    </row>
    <row r="56">
      <c r="A56" s="19" t="str">
        <f t="shared" si="1"/>
        <v>P056</v>
      </c>
      <c r="B56" s="20" t="s">
        <v>122</v>
      </c>
      <c r="C56" s="20"/>
      <c r="D56" s="20" t="s">
        <v>85</v>
      </c>
      <c r="E56" s="25">
        <v>19.5</v>
      </c>
      <c r="F56" s="22">
        <v>2.58</v>
      </c>
      <c r="G56" s="22">
        <v>3.24</v>
      </c>
      <c r="H56" s="22">
        <f t="shared" si="2"/>
        <v>5</v>
      </c>
      <c r="I56" s="22">
        <f t="shared" si="3"/>
        <v>30.32</v>
      </c>
      <c r="J56" s="23">
        <f t="shared" si="4"/>
        <v>0.6</v>
      </c>
      <c r="K56" s="22">
        <f t="shared" si="5"/>
        <v>48.512</v>
      </c>
      <c r="L56" s="22">
        <f t="shared" si="6"/>
        <v>39.416</v>
      </c>
      <c r="M56" s="23">
        <f t="shared" si="7"/>
        <v>0.0612</v>
      </c>
      <c r="N56" s="22">
        <f t="shared" si="8"/>
        <v>51.67447806</v>
      </c>
      <c r="O56" s="23">
        <f t="shared" si="9"/>
        <v>0.124</v>
      </c>
      <c r="P56" s="22">
        <f t="shared" si="10"/>
        <v>55.37899543</v>
      </c>
      <c r="Q56" s="20">
        <f>SUMIFS(Entradas!D:D,Entradas!B:B,B56,Entradas!C:C,C56) - SUMIFS(Vendas!E:E,Vendas!C:C,B56,Vendas!D:D,C56)</f>
        <v>0</v>
      </c>
    </row>
    <row r="57">
      <c r="A57" s="19" t="str">
        <f t="shared" si="1"/>
        <v>P057</v>
      </c>
      <c r="B57" s="20" t="s">
        <v>123</v>
      </c>
      <c r="C57" s="20"/>
      <c r="D57" s="20" t="s">
        <v>85</v>
      </c>
      <c r="E57" s="25">
        <v>19.5</v>
      </c>
      <c r="F57" s="22">
        <v>2.58</v>
      </c>
      <c r="G57" s="22">
        <v>3.24</v>
      </c>
      <c r="H57" s="22">
        <f t="shared" si="2"/>
        <v>5</v>
      </c>
      <c r="I57" s="22">
        <f t="shared" si="3"/>
        <v>30.32</v>
      </c>
      <c r="J57" s="23">
        <f t="shared" si="4"/>
        <v>0.6</v>
      </c>
      <c r="K57" s="22">
        <f t="shared" si="5"/>
        <v>48.512</v>
      </c>
      <c r="L57" s="22">
        <f t="shared" si="6"/>
        <v>39.416</v>
      </c>
      <c r="M57" s="23">
        <f t="shared" si="7"/>
        <v>0.0612</v>
      </c>
      <c r="N57" s="22">
        <f t="shared" si="8"/>
        <v>51.67447806</v>
      </c>
      <c r="O57" s="23">
        <f t="shared" si="9"/>
        <v>0.124</v>
      </c>
      <c r="P57" s="22">
        <f t="shared" si="10"/>
        <v>55.37899543</v>
      </c>
      <c r="Q57" s="20">
        <f>SUMIFS(Entradas!D:D,Entradas!B:B,B57,Entradas!C:C,C57) - SUMIFS(Vendas!E:E,Vendas!C:C,B57,Vendas!D:D,C57)</f>
        <v>0</v>
      </c>
    </row>
    <row r="58">
      <c r="A58" s="19" t="str">
        <f t="shared" si="1"/>
        <v>P058</v>
      </c>
      <c r="B58" s="20" t="s">
        <v>124</v>
      </c>
      <c r="C58" s="20"/>
      <c r="D58" s="20" t="s">
        <v>85</v>
      </c>
      <c r="E58" s="25">
        <v>30.5</v>
      </c>
      <c r="F58" s="22">
        <v>4.04</v>
      </c>
      <c r="G58" s="22">
        <v>5.06</v>
      </c>
      <c r="H58" s="22">
        <f t="shared" si="2"/>
        <v>5</v>
      </c>
      <c r="I58" s="22">
        <f t="shared" si="3"/>
        <v>44.6</v>
      </c>
      <c r="J58" s="23">
        <f t="shared" si="4"/>
        <v>0.6</v>
      </c>
      <c r="K58" s="22">
        <f t="shared" si="5"/>
        <v>71.36</v>
      </c>
      <c r="L58" s="22">
        <f t="shared" si="6"/>
        <v>57.98</v>
      </c>
      <c r="M58" s="23">
        <f t="shared" si="7"/>
        <v>0.0612</v>
      </c>
      <c r="N58" s="22">
        <f t="shared" si="8"/>
        <v>76.01193012</v>
      </c>
      <c r="O58" s="23">
        <f t="shared" si="9"/>
        <v>0.124</v>
      </c>
      <c r="P58" s="22">
        <f t="shared" si="10"/>
        <v>81.46118721</v>
      </c>
      <c r="Q58" s="20">
        <f>SUMIFS(Entradas!D:D,Entradas!B:B,B58,Entradas!C:C,C58) - SUMIFS(Vendas!E:E,Vendas!C:C,B58,Vendas!D:D,C58)</f>
        <v>0</v>
      </c>
    </row>
    <row r="59">
      <c r="A59" s="19" t="str">
        <f t="shared" si="1"/>
        <v>P059</v>
      </c>
      <c r="B59" s="20" t="s">
        <v>125</v>
      </c>
      <c r="C59" s="20"/>
      <c r="D59" s="20" t="s">
        <v>85</v>
      </c>
      <c r="E59" s="25">
        <v>19.0</v>
      </c>
      <c r="F59" s="22">
        <v>2.52</v>
      </c>
      <c r="G59" s="22">
        <v>3.15</v>
      </c>
      <c r="H59" s="22">
        <f t="shared" si="2"/>
        <v>5</v>
      </c>
      <c r="I59" s="22">
        <f t="shared" si="3"/>
        <v>29.67</v>
      </c>
      <c r="J59" s="23">
        <f t="shared" si="4"/>
        <v>0.6</v>
      </c>
      <c r="K59" s="22">
        <f t="shared" si="5"/>
        <v>47.472</v>
      </c>
      <c r="L59" s="22">
        <f t="shared" si="6"/>
        <v>38.571</v>
      </c>
      <c r="M59" s="23">
        <f t="shared" si="7"/>
        <v>0.0612</v>
      </c>
      <c r="N59" s="22">
        <f t="shared" si="8"/>
        <v>50.56668087</v>
      </c>
      <c r="O59" s="23">
        <f t="shared" si="9"/>
        <v>0.124</v>
      </c>
      <c r="P59" s="22">
        <f t="shared" si="10"/>
        <v>54.19178082</v>
      </c>
      <c r="Q59" s="20">
        <f>SUMIFS(Entradas!D:D,Entradas!B:B,B59,Entradas!C:C,C59) - SUMIFS(Vendas!E:E,Vendas!C:C,B59,Vendas!D:D,C59)</f>
        <v>0</v>
      </c>
    </row>
    <row r="60">
      <c r="A60" s="19" t="str">
        <f t="shared" si="1"/>
        <v>P060</v>
      </c>
      <c r="B60" s="20" t="s">
        <v>126</v>
      </c>
      <c r="C60" s="20"/>
      <c r="D60" s="20" t="s">
        <v>85</v>
      </c>
      <c r="E60" s="25">
        <v>15.4</v>
      </c>
      <c r="F60" s="22">
        <v>2.04</v>
      </c>
      <c r="G60" s="22">
        <v>2.56</v>
      </c>
      <c r="H60" s="22">
        <f t="shared" si="2"/>
        <v>5</v>
      </c>
      <c r="I60" s="22">
        <f t="shared" si="3"/>
        <v>25</v>
      </c>
      <c r="J60" s="23">
        <f t="shared" si="4"/>
        <v>0.6</v>
      </c>
      <c r="K60" s="22">
        <f t="shared" si="5"/>
        <v>40</v>
      </c>
      <c r="L60" s="22">
        <f t="shared" si="6"/>
        <v>32.5</v>
      </c>
      <c r="M60" s="23">
        <f t="shared" si="7"/>
        <v>0.0612</v>
      </c>
      <c r="N60" s="22">
        <f t="shared" si="8"/>
        <v>42.60758415</v>
      </c>
      <c r="O60" s="23">
        <f t="shared" si="9"/>
        <v>0.124</v>
      </c>
      <c r="P60" s="22">
        <f t="shared" si="10"/>
        <v>45.66210046</v>
      </c>
      <c r="Q60" s="20">
        <f>SUMIFS(Entradas!D:D,Entradas!B:B,B60,Entradas!C:C,C60) - SUMIFS(Vendas!E:E,Vendas!C:C,B60,Vendas!D:D,C60)</f>
        <v>0</v>
      </c>
    </row>
    <row r="61">
      <c r="A61" s="19" t="str">
        <f t="shared" si="1"/>
        <v>P061</v>
      </c>
      <c r="B61" s="20" t="s">
        <v>127</v>
      </c>
      <c r="C61" s="20"/>
      <c r="D61" s="20" t="s">
        <v>85</v>
      </c>
      <c r="E61" s="25">
        <v>22.9</v>
      </c>
      <c r="F61" s="22">
        <v>3.03</v>
      </c>
      <c r="G61" s="22">
        <v>3.8</v>
      </c>
      <c r="H61" s="22">
        <f t="shared" si="2"/>
        <v>5</v>
      </c>
      <c r="I61" s="22">
        <f t="shared" si="3"/>
        <v>34.73</v>
      </c>
      <c r="J61" s="23">
        <f t="shared" si="4"/>
        <v>0.6</v>
      </c>
      <c r="K61" s="22">
        <f t="shared" si="5"/>
        <v>55.568</v>
      </c>
      <c r="L61" s="22">
        <f t="shared" si="6"/>
        <v>45.149</v>
      </c>
      <c r="M61" s="23">
        <f t="shared" si="7"/>
        <v>0.0612</v>
      </c>
      <c r="N61" s="22">
        <f t="shared" si="8"/>
        <v>59.1904559</v>
      </c>
      <c r="O61" s="23">
        <f t="shared" si="9"/>
        <v>0.124</v>
      </c>
      <c r="P61" s="22">
        <f t="shared" si="10"/>
        <v>63.43378995</v>
      </c>
      <c r="Q61" s="20">
        <f>SUMIFS(Entradas!D:D,Entradas!B:B,B61,Entradas!C:C,C61) - SUMIFS(Vendas!E:E,Vendas!C:C,B61,Vendas!D:D,C61)</f>
        <v>0</v>
      </c>
    </row>
    <row r="62">
      <c r="A62" s="19" t="str">
        <f t="shared" si="1"/>
        <v>P062</v>
      </c>
      <c r="B62" s="20" t="s">
        <v>128</v>
      </c>
      <c r="C62" s="20"/>
      <c r="D62" s="20" t="s">
        <v>85</v>
      </c>
      <c r="E62" s="25">
        <v>22.9</v>
      </c>
      <c r="F62" s="22">
        <v>3.03</v>
      </c>
      <c r="G62" s="22">
        <v>3.8</v>
      </c>
      <c r="H62" s="22">
        <f t="shared" si="2"/>
        <v>5</v>
      </c>
      <c r="I62" s="22">
        <f t="shared" si="3"/>
        <v>34.73</v>
      </c>
      <c r="J62" s="23">
        <f t="shared" si="4"/>
        <v>0.6</v>
      </c>
      <c r="K62" s="22">
        <f t="shared" si="5"/>
        <v>55.568</v>
      </c>
      <c r="L62" s="22">
        <f t="shared" si="6"/>
        <v>45.149</v>
      </c>
      <c r="M62" s="23">
        <f t="shared" si="7"/>
        <v>0.0612</v>
      </c>
      <c r="N62" s="22">
        <f t="shared" si="8"/>
        <v>59.1904559</v>
      </c>
      <c r="O62" s="23">
        <f t="shared" si="9"/>
        <v>0.124</v>
      </c>
      <c r="P62" s="22">
        <f t="shared" si="10"/>
        <v>63.43378995</v>
      </c>
      <c r="Q62" s="20">
        <f>SUMIFS(Entradas!D:D,Entradas!B:B,B62,Entradas!C:C,C62) - SUMIFS(Vendas!E:E,Vendas!C:C,B62,Vendas!D:D,C62)</f>
        <v>0</v>
      </c>
    </row>
    <row r="63">
      <c r="A63" s="19" t="str">
        <f t="shared" si="1"/>
        <v>P063</v>
      </c>
      <c r="B63" s="20" t="s">
        <v>129</v>
      </c>
      <c r="C63" s="20"/>
      <c r="D63" s="20" t="s">
        <v>85</v>
      </c>
      <c r="E63" s="25">
        <v>22.5</v>
      </c>
      <c r="F63" s="22">
        <v>2.98</v>
      </c>
      <c r="G63" s="22">
        <v>3.74</v>
      </c>
      <c r="H63" s="22">
        <f t="shared" si="2"/>
        <v>5</v>
      </c>
      <c r="I63" s="22">
        <f t="shared" si="3"/>
        <v>34.22</v>
      </c>
      <c r="J63" s="23">
        <f t="shared" si="4"/>
        <v>0.6</v>
      </c>
      <c r="K63" s="22">
        <f t="shared" si="5"/>
        <v>54.752</v>
      </c>
      <c r="L63" s="22">
        <f t="shared" si="6"/>
        <v>44.486</v>
      </c>
      <c r="M63" s="23">
        <f t="shared" si="7"/>
        <v>0.0612</v>
      </c>
      <c r="N63" s="22">
        <f t="shared" si="8"/>
        <v>58.32126118</v>
      </c>
      <c r="O63" s="23">
        <f t="shared" si="9"/>
        <v>0.124</v>
      </c>
      <c r="P63" s="22">
        <f t="shared" si="10"/>
        <v>62.50228311</v>
      </c>
      <c r="Q63" s="20">
        <f>SUMIFS(Entradas!D:D,Entradas!B:B,B63,Entradas!C:C,C63) - SUMIFS(Vendas!E:E,Vendas!C:C,B63,Vendas!D:D,C63)</f>
        <v>0</v>
      </c>
    </row>
    <row r="64">
      <c r="A64" s="19" t="str">
        <f t="shared" si="1"/>
        <v>P064</v>
      </c>
      <c r="B64" s="20" t="s">
        <v>130</v>
      </c>
      <c r="C64" s="20"/>
      <c r="D64" s="20" t="s">
        <v>85</v>
      </c>
      <c r="E64" s="25">
        <v>22.5</v>
      </c>
      <c r="F64" s="22">
        <v>2.98</v>
      </c>
      <c r="G64" s="22">
        <v>3.74</v>
      </c>
      <c r="H64" s="22">
        <f t="shared" si="2"/>
        <v>5</v>
      </c>
      <c r="I64" s="22">
        <f t="shared" si="3"/>
        <v>34.22</v>
      </c>
      <c r="J64" s="23">
        <f t="shared" si="4"/>
        <v>0.6</v>
      </c>
      <c r="K64" s="22">
        <f t="shared" si="5"/>
        <v>54.752</v>
      </c>
      <c r="L64" s="22">
        <f t="shared" si="6"/>
        <v>44.486</v>
      </c>
      <c r="M64" s="23">
        <f t="shared" si="7"/>
        <v>0.0612</v>
      </c>
      <c r="N64" s="22">
        <f t="shared" si="8"/>
        <v>58.32126118</v>
      </c>
      <c r="O64" s="23">
        <f t="shared" si="9"/>
        <v>0.124</v>
      </c>
      <c r="P64" s="22">
        <f t="shared" si="10"/>
        <v>62.50228311</v>
      </c>
      <c r="Q64" s="20">
        <f>SUMIFS(Entradas!D:D,Entradas!B:B,B64,Entradas!C:C,C64) - SUMIFS(Vendas!E:E,Vendas!C:C,B64,Vendas!D:D,C64)</f>
        <v>0</v>
      </c>
    </row>
    <row r="65">
      <c r="A65" s="19" t="str">
        <f t="shared" si="1"/>
        <v>P065</v>
      </c>
      <c r="B65" s="20" t="s">
        <v>131</v>
      </c>
      <c r="C65" s="20"/>
      <c r="D65" s="20" t="s">
        <v>85</v>
      </c>
      <c r="E65" s="25">
        <v>35.0</v>
      </c>
      <c r="F65" s="22">
        <v>4.64</v>
      </c>
      <c r="G65" s="22">
        <v>5.81</v>
      </c>
      <c r="H65" s="22">
        <f t="shared" si="2"/>
        <v>5</v>
      </c>
      <c r="I65" s="22">
        <f t="shared" si="3"/>
        <v>50.45</v>
      </c>
      <c r="J65" s="23">
        <f t="shared" si="4"/>
        <v>0.6</v>
      </c>
      <c r="K65" s="22">
        <f t="shared" si="5"/>
        <v>80.72</v>
      </c>
      <c r="L65" s="22">
        <f t="shared" si="6"/>
        <v>65.585</v>
      </c>
      <c r="M65" s="23">
        <f t="shared" si="7"/>
        <v>0.0612</v>
      </c>
      <c r="N65" s="22">
        <f t="shared" si="8"/>
        <v>85.98210481</v>
      </c>
      <c r="O65" s="23">
        <f t="shared" si="9"/>
        <v>0.124</v>
      </c>
      <c r="P65" s="22">
        <f t="shared" si="10"/>
        <v>92.14611872</v>
      </c>
      <c r="Q65" s="20">
        <f>SUMIFS(Entradas!D:D,Entradas!B:B,B65,Entradas!C:C,C65) - SUMIFS(Vendas!E:E,Vendas!C:C,B65,Vendas!D:D,C65)</f>
        <v>0</v>
      </c>
    </row>
    <row r="66">
      <c r="A66" s="19" t="str">
        <f t="shared" si="1"/>
        <v>P066</v>
      </c>
      <c r="B66" s="20" t="s">
        <v>132</v>
      </c>
      <c r="C66" s="20"/>
      <c r="D66" s="20" t="s">
        <v>85</v>
      </c>
      <c r="E66" s="25">
        <v>44.9</v>
      </c>
      <c r="F66" s="22">
        <v>5.95</v>
      </c>
      <c r="G66" s="22">
        <v>7.45</v>
      </c>
      <c r="H66" s="22">
        <f t="shared" si="2"/>
        <v>5</v>
      </c>
      <c r="I66" s="22">
        <f t="shared" si="3"/>
        <v>63.3</v>
      </c>
      <c r="J66" s="23">
        <f t="shared" si="4"/>
        <v>0.6</v>
      </c>
      <c r="K66" s="22">
        <f t="shared" si="5"/>
        <v>101.28</v>
      </c>
      <c r="L66" s="22">
        <f t="shared" si="6"/>
        <v>82.29</v>
      </c>
      <c r="M66" s="23">
        <f t="shared" si="7"/>
        <v>0.0612</v>
      </c>
      <c r="N66" s="22">
        <f t="shared" si="8"/>
        <v>107.8824031</v>
      </c>
      <c r="O66" s="23">
        <f t="shared" si="9"/>
        <v>0.124</v>
      </c>
      <c r="P66" s="22">
        <f t="shared" si="10"/>
        <v>115.6164384</v>
      </c>
      <c r="Q66" s="20">
        <f>SUMIFS(Entradas!D:D,Entradas!B:B,B66,Entradas!C:C,C66) - SUMIFS(Vendas!E:E,Vendas!C:C,B66,Vendas!D:D,C66)</f>
        <v>0</v>
      </c>
    </row>
    <row r="67">
      <c r="A67" s="19" t="str">
        <f t="shared" si="1"/>
        <v>P067</v>
      </c>
      <c r="B67" s="20" t="s">
        <v>133</v>
      </c>
      <c r="C67" s="20"/>
      <c r="D67" s="20" t="s">
        <v>85</v>
      </c>
      <c r="E67" s="25">
        <v>14.5</v>
      </c>
      <c r="F67" s="22">
        <v>1.92</v>
      </c>
      <c r="G67" s="22">
        <v>2.41</v>
      </c>
      <c r="H67" s="22">
        <f t="shared" si="2"/>
        <v>5</v>
      </c>
      <c r="I67" s="22">
        <f t="shared" si="3"/>
        <v>23.83</v>
      </c>
      <c r="J67" s="23">
        <f t="shared" si="4"/>
        <v>0.6</v>
      </c>
      <c r="K67" s="22">
        <f t="shared" si="5"/>
        <v>38.128</v>
      </c>
      <c r="L67" s="22">
        <f t="shared" si="6"/>
        <v>30.979</v>
      </c>
      <c r="M67" s="23">
        <f t="shared" si="7"/>
        <v>0.0612</v>
      </c>
      <c r="N67" s="22">
        <f t="shared" si="8"/>
        <v>40.61354921</v>
      </c>
      <c r="O67" s="23">
        <f t="shared" si="9"/>
        <v>0.124</v>
      </c>
      <c r="P67" s="22">
        <f t="shared" si="10"/>
        <v>43.52511416</v>
      </c>
      <c r="Q67" s="20">
        <f>SUMIFS(Entradas!D:D,Entradas!B:B,B67,Entradas!C:C,C67) - SUMIFS(Vendas!E:E,Vendas!C:C,B67,Vendas!D:D,C67)</f>
        <v>0</v>
      </c>
    </row>
    <row r="68">
      <c r="A68" s="19" t="str">
        <f t="shared" si="1"/>
        <v>P068</v>
      </c>
      <c r="B68" s="20" t="s">
        <v>134</v>
      </c>
      <c r="C68" s="20"/>
      <c r="D68" s="20" t="s">
        <v>85</v>
      </c>
      <c r="E68" s="25">
        <v>7.5</v>
      </c>
      <c r="F68" s="22">
        <v>0.99</v>
      </c>
      <c r="G68" s="22">
        <v>1.25</v>
      </c>
      <c r="H68" s="22">
        <f t="shared" si="2"/>
        <v>5</v>
      </c>
      <c r="I68" s="22">
        <f t="shared" si="3"/>
        <v>14.74</v>
      </c>
      <c r="J68" s="23">
        <f t="shared" si="4"/>
        <v>0.6</v>
      </c>
      <c r="K68" s="22">
        <f t="shared" si="5"/>
        <v>23.584</v>
      </c>
      <c r="L68" s="22">
        <f t="shared" si="6"/>
        <v>19.162</v>
      </c>
      <c r="M68" s="23">
        <f t="shared" si="7"/>
        <v>0.0612</v>
      </c>
      <c r="N68" s="22">
        <f t="shared" si="8"/>
        <v>25.12143161</v>
      </c>
      <c r="O68" s="23">
        <f t="shared" si="9"/>
        <v>0.124</v>
      </c>
      <c r="P68" s="22">
        <f t="shared" si="10"/>
        <v>26.92237443</v>
      </c>
      <c r="Q68" s="20">
        <f>SUMIFS(Entradas!D:D,Entradas!B:B,B68,Entradas!C:C,C68) - SUMIFS(Vendas!E:E,Vendas!C:C,B68,Vendas!D:D,C68)</f>
        <v>0</v>
      </c>
    </row>
    <row r="69">
      <c r="A69" s="19" t="str">
        <f t="shared" si="1"/>
        <v>P069</v>
      </c>
      <c r="B69" s="20" t="s">
        <v>135</v>
      </c>
      <c r="C69" s="20"/>
      <c r="D69" s="20" t="s">
        <v>85</v>
      </c>
      <c r="E69" s="25">
        <v>5.95</v>
      </c>
      <c r="F69" s="22">
        <v>0.79</v>
      </c>
      <c r="G69" s="22">
        <v>0.99</v>
      </c>
      <c r="H69" s="22">
        <f t="shared" si="2"/>
        <v>5</v>
      </c>
      <c r="I69" s="22">
        <f t="shared" si="3"/>
        <v>12.73</v>
      </c>
      <c r="J69" s="23">
        <f t="shared" si="4"/>
        <v>0.6</v>
      </c>
      <c r="K69" s="22">
        <f t="shared" si="5"/>
        <v>20.368</v>
      </c>
      <c r="L69" s="22">
        <f t="shared" si="6"/>
        <v>16.549</v>
      </c>
      <c r="M69" s="23">
        <f t="shared" si="7"/>
        <v>0.0612</v>
      </c>
      <c r="N69" s="22">
        <f t="shared" si="8"/>
        <v>21.69578185</v>
      </c>
      <c r="O69" s="23">
        <f t="shared" si="9"/>
        <v>0.124</v>
      </c>
      <c r="P69" s="22">
        <f t="shared" si="10"/>
        <v>23.25114155</v>
      </c>
      <c r="Q69" s="20">
        <f>SUMIFS(Entradas!D:D,Entradas!B:B,B69,Entradas!C:C,C69) - SUMIFS(Vendas!E:E,Vendas!C:C,B69,Vendas!D:D,C69)</f>
        <v>0</v>
      </c>
    </row>
    <row r="70">
      <c r="A70" s="19" t="str">
        <f t="shared" si="1"/>
        <v>P070</v>
      </c>
      <c r="B70" s="20" t="s">
        <v>136</v>
      </c>
      <c r="C70" s="20"/>
      <c r="D70" s="20" t="s">
        <v>85</v>
      </c>
      <c r="E70" s="25">
        <v>5.95</v>
      </c>
      <c r="F70" s="22">
        <v>0.79</v>
      </c>
      <c r="G70" s="22">
        <v>0.99</v>
      </c>
      <c r="H70" s="22">
        <f t="shared" si="2"/>
        <v>5</v>
      </c>
      <c r="I70" s="22">
        <f t="shared" si="3"/>
        <v>12.73</v>
      </c>
      <c r="J70" s="23">
        <f t="shared" si="4"/>
        <v>0.6</v>
      </c>
      <c r="K70" s="22">
        <f t="shared" si="5"/>
        <v>20.368</v>
      </c>
      <c r="L70" s="22">
        <f t="shared" si="6"/>
        <v>16.549</v>
      </c>
      <c r="M70" s="23">
        <f t="shared" si="7"/>
        <v>0.0612</v>
      </c>
      <c r="N70" s="22">
        <f t="shared" si="8"/>
        <v>21.69578185</v>
      </c>
      <c r="O70" s="23">
        <f t="shared" si="9"/>
        <v>0.124</v>
      </c>
      <c r="P70" s="22">
        <f t="shared" si="10"/>
        <v>23.25114155</v>
      </c>
      <c r="Q70" s="20">
        <f>SUMIFS(Entradas!D:D,Entradas!B:B,B70,Entradas!C:C,C70) - SUMIFS(Vendas!E:E,Vendas!C:C,B70,Vendas!D:D,C70)</f>
        <v>0</v>
      </c>
    </row>
    <row r="71">
      <c r="A71" s="19" t="str">
        <f t="shared" si="1"/>
        <v>P071</v>
      </c>
      <c r="B71" s="20" t="s">
        <v>137</v>
      </c>
      <c r="C71" s="20"/>
      <c r="D71" s="20" t="s">
        <v>85</v>
      </c>
      <c r="E71" s="25">
        <v>5.95</v>
      </c>
      <c r="F71" s="22">
        <v>0.79</v>
      </c>
      <c r="G71" s="22">
        <v>0.99</v>
      </c>
      <c r="H71" s="22">
        <f t="shared" si="2"/>
        <v>5</v>
      </c>
      <c r="I71" s="22">
        <f t="shared" si="3"/>
        <v>12.73</v>
      </c>
      <c r="J71" s="23">
        <f t="shared" si="4"/>
        <v>0.6</v>
      </c>
      <c r="K71" s="22">
        <f t="shared" si="5"/>
        <v>20.368</v>
      </c>
      <c r="L71" s="22">
        <f t="shared" si="6"/>
        <v>16.549</v>
      </c>
      <c r="M71" s="23">
        <f t="shared" si="7"/>
        <v>0.0612</v>
      </c>
      <c r="N71" s="22">
        <f t="shared" si="8"/>
        <v>21.69578185</v>
      </c>
      <c r="O71" s="23">
        <f t="shared" si="9"/>
        <v>0.124</v>
      </c>
      <c r="P71" s="22">
        <f t="shared" si="10"/>
        <v>23.25114155</v>
      </c>
      <c r="Q71" s="20">
        <f>SUMIFS(Entradas!D:D,Entradas!B:B,B71,Entradas!C:C,C71) - SUMIFS(Vendas!E:E,Vendas!C:C,B71,Vendas!D:D,C71)</f>
        <v>0</v>
      </c>
    </row>
    <row r="72">
      <c r="A72" s="19" t="str">
        <f t="shared" si="1"/>
        <v>P072</v>
      </c>
      <c r="B72" s="20" t="s">
        <v>138</v>
      </c>
      <c r="C72" s="20"/>
      <c r="D72" s="20" t="s">
        <v>85</v>
      </c>
      <c r="E72" s="25">
        <v>5.95</v>
      </c>
      <c r="F72" s="22">
        <v>0.79</v>
      </c>
      <c r="G72" s="22">
        <v>0.99</v>
      </c>
      <c r="H72" s="22">
        <f t="shared" si="2"/>
        <v>5</v>
      </c>
      <c r="I72" s="22">
        <f t="shared" si="3"/>
        <v>12.73</v>
      </c>
      <c r="J72" s="23">
        <f t="shared" si="4"/>
        <v>0.6</v>
      </c>
      <c r="K72" s="22">
        <f t="shared" si="5"/>
        <v>20.368</v>
      </c>
      <c r="L72" s="22">
        <f t="shared" si="6"/>
        <v>16.549</v>
      </c>
      <c r="M72" s="23">
        <f t="shared" si="7"/>
        <v>0.0612</v>
      </c>
      <c r="N72" s="22">
        <f t="shared" si="8"/>
        <v>21.69578185</v>
      </c>
      <c r="O72" s="23">
        <f t="shared" si="9"/>
        <v>0.124</v>
      </c>
      <c r="P72" s="22">
        <f t="shared" si="10"/>
        <v>23.25114155</v>
      </c>
      <c r="Q72" s="20">
        <f>SUMIFS(Entradas!D:D,Entradas!B:B,B72,Entradas!C:C,C72) - SUMIFS(Vendas!E:E,Vendas!C:C,B72,Vendas!D:D,C72)</f>
        <v>0</v>
      </c>
    </row>
    <row r="73">
      <c r="A73" s="19" t="str">
        <f t="shared" si="1"/>
        <v>P073</v>
      </c>
      <c r="B73" s="20" t="s">
        <v>139</v>
      </c>
      <c r="C73" s="20"/>
      <c r="D73" s="20" t="s">
        <v>85</v>
      </c>
      <c r="E73" s="25">
        <v>7.2</v>
      </c>
      <c r="F73" s="22">
        <v>0.95</v>
      </c>
      <c r="G73" s="22">
        <v>1.2</v>
      </c>
      <c r="H73" s="22">
        <f t="shared" si="2"/>
        <v>5</v>
      </c>
      <c r="I73" s="22">
        <f t="shared" si="3"/>
        <v>14.35</v>
      </c>
      <c r="J73" s="23">
        <f t="shared" si="4"/>
        <v>0.6</v>
      </c>
      <c r="K73" s="22">
        <f t="shared" si="5"/>
        <v>22.96</v>
      </c>
      <c r="L73" s="22">
        <f t="shared" si="6"/>
        <v>18.655</v>
      </c>
      <c r="M73" s="23">
        <f t="shared" si="7"/>
        <v>0.0612</v>
      </c>
      <c r="N73" s="22">
        <f t="shared" si="8"/>
        <v>24.4567533</v>
      </c>
      <c r="O73" s="23">
        <f t="shared" si="9"/>
        <v>0.124</v>
      </c>
      <c r="P73" s="22">
        <f t="shared" si="10"/>
        <v>26.21004566</v>
      </c>
      <c r="Q73" s="20">
        <f>SUMIFS(Entradas!D:D,Entradas!B:B,B73,Entradas!C:C,C73) - SUMIFS(Vendas!E:E,Vendas!C:C,B73,Vendas!D:D,C73)</f>
        <v>0</v>
      </c>
    </row>
    <row r="74">
      <c r="A74" s="19" t="str">
        <f t="shared" si="1"/>
        <v>P074</v>
      </c>
      <c r="B74" s="20" t="s">
        <v>140</v>
      </c>
      <c r="C74" s="20"/>
      <c r="D74" s="20" t="s">
        <v>85</v>
      </c>
      <c r="E74" s="25">
        <v>7.2</v>
      </c>
      <c r="F74" s="22">
        <v>0.95</v>
      </c>
      <c r="G74" s="22">
        <v>1.2</v>
      </c>
      <c r="H74" s="22">
        <f t="shared" si="2"/>
        <v>5</v>
      </c>
      <c r="I74" s="22">
        <f t="shared" si="3"/>
        <v>14.35</v>
      </c>
      <c r="J74" s="23">
        <f t="shared" si="4"/>
        <v>0.6</v>
      </c>
      <c r="K74" s="22">
        <f t="shared" si="5"/>
        <v>22.96</v>
      </c>
      <c r="L74" s="22">
        <f t="shared" si="6"/>
        <v>18.655</v>
      </c>
      <c r="M74" s="23">
        <f t="shared" si="7"/>
        <v>0.0612</v>
      </c>
      <c r="N74" s="22">
        <f t="shared" si="8"/>
        <v>24.4567533</v>
      </c>
      <c r="O74" s="23">
        <f t="shared" si="9"/>
        <v>0.124</v>
      </c>
      <c r="P74" s="22">
        <f t="shared" si="10"/>
        <v>26.21004566</v>
      </c>
      <c r="Q74" s="20">
        <f>SUMIFS(Entradas!D:D,Entradas!B:B,B74,Entradas!C:C,C74) - SUMIFS(Vendas!E:E,Vendas!C:C,B74,Vendas!D:D,C74)</f>
        <v>0</v>
      </c>
    </row>
    <row r="75">
      <c r="A75" s="19" t="str">
        <f t="shared" si="1"/>
        <v>P075</v>
      </c>
      <c r="B75" s="20" t="s">
        <v>141</v>
      </c>
      <c r="C75" s="20"/>
      <c r="D75" s="20" t="s">
        <v>85</v>
      </c>
      <c r="E75" s="25">
        <v>7.2</v>
      </c>
      <c r="F75" s="22">
        <v>0.95</v>
      </c>
      <c r="G75" s="22">
        <v>1.2</v>
      </c>
      <c r="H75" s="22">
        <f t="shared" si="2"/>
        <v>5</v>
      </c>
      <c r="I75" s="22">
        <f t="shared" si="3"/>
        <v>14.35</v>
      </c>
      <c r="J75" s="23">
        <f t="shared" si="4"/>
        <v>0.6</v>
      </c>
      <c r="K75" s="22">
        <f t="shared" si="5"/>
        <v>22.96</v>
      </c>
      <c r="L75" s="22">
        <f t="shared" si="6"/>
        <v>18.655</v>
      </c>
      <c r="M75" s="23">
        <f t="shared" si="7"/>
        <v>0.0612</v>
      </c>
      <c r="N75" s="22">
        <f t="shared" si="8"/>
        <v>24.4567533</v>
      </c>
      <c r="O75" s="23">
        <f t="shared" si="9"/>
        <v>0.124</v>
      </c>
      <c r="P75" s="22">
        <f t="shared" si="10"/>
        <v>26.21004566</v>
      </c>
      <c r="Q75" s="20">
        <f>SUMIFS(Entradas!D:D,Entradas!B:B,B75,Entradas!C:C,C75) - SUMIFS(Vendas!E:E,Vendas!C:C,B75,Vendas!D:D,C75)</f>
        <v>0</v>
      </c>
    </row>
    <row r="76">
      <c r="A76" s="19" t="str">
        <f t="shared" si="1"/>
        <v>P076</v>
      </c>
      <c r="B76" s="20" t="s">
        <v>142</v>
      </c>
      <c r="C76" s="20"/>
      <c r="D76" s="20" t="s">
        <v>85</v>
      </c>
      <c r="E76" s="25">
        <v>7.2</v>
      </c>
      <c r="F76" s="22">
        <v>0.95</v>
      </c>
      <c r="G76" s="22">
        <v>1.2</v>
      </c>
      <c r="H76" s="22">
        <f t="shared" si="2"/>
        <v>5</v>
      </c>
      <c r="I76" s="22">
        <f t="shared" si="3"/>
        <v>14.35</v>
      </c>
      <c r="J76" s="23">
        <f t="shared" si="4"/>
        <v>0.6</v>
      </c>
      <c r="K76" s="22">
        <f t="shared" si="5"/>
        <v>22.96</v>
      </c>
      <c r="L76" s="22">
        <f t="shared" si="6"/>
        <v>18.655</v>
      </c>
      <c r="M76" s="23">
        <f t="shared" si="7"/>
        <v>0.0612</v>
      </c>
      <c r="N76" s="22">
        <f t="shared" si="8"/>
        <v>24.4567533</v>
      </c>
      <c r="O76" s="23">
        <f t="shared" si="9"/>
        <v>0.124</v>
      </c>
      <c r="P76" s="22">
        <f t="shared" si="10"/>
        <v>26.21004566</v>
      </c>
      <c r="Q76" s="20">
        <f>SUMIFS(Entradas!D:D,Entradas!B:B,B76,Entradas!C:C,C76) - SUMIFS(Vendas!E:E,Vendas!C:C,B76,Vendas!D:D,C76)</f>
        <v>0</v>
      </c>
    </row>
    <row r="77">
      <c r="A77" s="19" t="str">
        <f t="shared" si="1"/>
        <v>P077</v>
      </c>
      <c r="B77" s="20" t="s">
        <v>143</v>
      </c>
      <c r="C77" s="20"/>
      <c r="D77" s="20" t="s">
        <v>85</v>
      </c>
      <c r="E77" s="25">
        <v>7.2</v>
      </c>
      <c r="F77" s="22">
        <v>0.95</v>
      </c>
      <c r="G77" s="22">
        <v>1.2</v>
      </c>
      <c r="H77" s="22">
        <f t="shared" si="2"/>
        <v>5</v>
      </c>
      <c r="I77" s="22">
        <f t="shared" si="3"/>
        <v>14.35</v>
      </c>
      <c r="J77" s="23">
        <f t="shared" si="4"/>
        <v>0.6</v>
      </c>
      <c r="K77" s="22">
        <f t="shared" si="5"/>
        <v>22.96</v>
      </c>
      <c r="L77" s="22">
        <f t="shared" si="6"/>
        <v>18.655</v>
      </c>
      <c r="M77" s="23">
        <f t="shared" si="7"/>
        <v>0.0612</v>
      </c>
      <c r="N77" s="22">
        <f t="shared" si="8"/>
        <v>24.4567533</v>
      </c>
      <c r="O77" s="23">
        <f t="shared" si="9"/>
        <v>0.124</v>
      </c>
      <c r="P77" s="22">
        <f t="shared" si="10"/>
        <v>26.21004566</v>
      </c>
      <c r="Q77" s="20">
        <f>SUMIFS(Entradas!D:D,Entradas!B:B,B77,Entradas!C:C,C77) - SUMIFS(Vendas!E:E,Vendas!C:C,B77,Vendas!D:D,C77)</f>
        <v>0</v>
      </c>
    </row>
    <row r="78">
      <c r="A78" s="19" t="str">
        <f t="shared" si="1"/>
        <v>P078</v>
      </c>
      <c r="B78" s="20" t="s">
        <v>144</v>
      </c>
      <c r="C78" s="20"/>
      <c r="D78" s="20" t="s">
        <v>85</v>
      </c>
      <c r="E78" s="25">
        <v>7.2</v>
      </c>
      <c r="F78" s="22">
        <v>0.95</v>
      </c>
      <c r="G78" s="22">
        <v>1.2</v>
      </c>
      <c r="H78" s="22">
        <f t="shared" si="2"/>
        <v>5</v>
      </c>
      <c r="I78" s="22">
        <f t="shared" si="3"/>
        <v>14.35</v>
      </c>
      <c r="J78" s="23">
        <f t="shared" si="4"/>
        <v>0.6</v>
      </c>
      <c r="K78" s="22">
        <f t="shared" si="5"/>
        <v>22.96</v>
      </c>
      <c r="L78" s="22">
        <f t="shared" si="6"/>
        <v>18.655</v>
      </c>
      <c r="M78" s="23">
        <f t="shared" si="7"/>
        <v>0.0612</v>
      </c>
      <c r="N78" s="22">
        <f t="shared" si="8"/>
        <v>24.4567533</v>
      </c>
      <c r="O78" s="23">
        <f t="shared" si="9"/>
        <v>0.124</v>
      </c>
      <c r="P78" s="22">
        <f t="shared" si="10"/>
        <v>26.21004566</v>
      </c>
      <c r="Q78" s="20">
        <f>SUMIFS(Entradas!D:D,Entradas!B:B,B78,Entradas!C:C,C78) - SUMIFS(Vendas!E:E,Vendas!C:C,B78,Vendas!D:D,C78)</f>
        <v>0</v>
      </c>
    </row>
    <row r="79">
      <c r="A79" s="19" t="str">
        <f t="shared" si="1"/>
        <v>P079</v>
      </c>
      <c r="B79" s="20" t="s">
        <v>145</v>
      </c>
      <c r="C79" s="20"/>
      <c r="D79" s="20" t="s">
        <v>85</v>
      </c>
      <c r="E79" s="25">
        <v>5.9</v>
      </c>
      <c r="F79" s="22">
        <v>0.78</v>
      </c>
      <c r="G79" s="22">
        <v>0.98</v>
      </c>
      <c r="H79" s="22">
        <f t="shared" si="2"/>
        <v>5</v>
      </c>
      <c r="I79" s="22">
        <f t="shared" si="3"/>
        <v>12.66</v>
      </c>
      <c r="J79" s="23">
        <f t="shared" si="4"/>
        <v>0.6</v>
      </c>
      <c r="K79" s="22">
        <f t="shared" si="5"/>
        <v>20.256</v>
      </c>
      <c r="L79" s="22">
        <f t="shared" si="6"/>
        <v>16.458</v>
      </c>
      <c r="M79" s="23">
        <f t="shared" si="7"/>
        <v>0.0612</v>
      </c>
      <c r="N79" s="22">
        <f t="shared" si="8"/>
        <v>21.57648061</v>
      </c>
      <c r="O79" s="23">
        <f t="shared" si="9"/>
        <v>0.124</v>
      </c>
      <c r="P79" s="22">
        <f t="shared" si="10"/>
        <v>23.12328767</v>
      </c>
      <c r="Q79" s="20">
        <f>SUMIFS(Entradas!D:D,Entradas!B:B,B79,Entradas!C:C,C79) - SUMIFS(Vendas!E:E,Vendas!C:C,B79,Vendas!D:D,C79)</f>
        <v>0</v>
      </c>
    </row>
    <row r="80">
      <c r="A80" s="19" t="str">
        <f t="shared" si="1"/>
        <v>P080</v>
      </c>
      <c r="B80" s="20" t="s">
        <v>146</v>
      </c>
      <c r="C80" s="20"/>
      <c r="D80" s="20" t="s">
        <v>85</v>
      </c>
      <c r="E80" s="25">
        <v>5.9</v>
      </c>
      <c r="F80" s="22">
        <v>0.78</v>
      </c>
      <c r="G80" s="22">
        <v>0.98</v>
      </c>
      <c r="H80" s="22">
        <f t="shared" si="2"/>
        <v>5</v>
      </c>
      <c r="I80" s="22">
        <f t="shared" si="3"/>
        <v>12.66</v>
      </c>
      <c r="J80" s="23">
        <f t="shared" si="4"/>
        <v>0.6</v>
      </c>
      <c r="K80" s="22">
        <f t="shared" si="5"/>
        <v>20.256</v>
      </c>
      <c r="L80" s="22">
        <f t="shared" si="6"/>
        <v>16.458</v>
      </c>
      <c r="M80" s="23">
        <f t="shared" si="7"/>
        <v>0.0612</v>
      </c>
      <c r="N80" s="22">
        <f t="shared" si="8"/>
        <v>21.57648061</v>
      </c>
      <c r="O80" s="23">
        <f t="shared" si="9"/>
        <v>0.124</v>
      </c>
      <c r="P80" s="22">
        <f t="shared" si="10"/>
        <v>23.12328767</v>
      </c>
      <c r="Q80" s="20">
        <f>SUMIFS(Entradas!D:D,Entradas!B:B,B80,Entradas!C:C,C80) - SUMIFS(Vendas!E:E,Vendas!C:C,B80,Vendas!D:D,C80)</f>
        <v>0</v>
      </c>
    </row>
    <row r="81">
      <c r="A81" s="19" t="str">
        <f t="shared" si="1"/>
        <v>P081</v>
      </c>
      <c r="B81" s="20" t="s">
        <v>147</v>
      </c>
      <c r="C81" s="20"/>
      <c r="D81" s="20" t="s">
        <v>85</v>
      </c>
      <c r="E81" s="25">
        <v>5.9</v>
      </c>
      <c r="F81" s="22">
        <v>0.78</v>
      </c>
      <c r="G81" s="22">
        <v>0.98</v>
      </c>
      <c r="H81" s="22">
        <f t="shared" si="2"/>
        <v>5</v>
      </c>
      <c r="I81" s="22">
        <f t="shared" si="3"/>
        <v>12.66</v>
      </c>
      <c r="J81" s="23">
        <f t="shared" si="4"/>
        <v>0.6</v>
      </c>
      <c r="K81" s="22">
        <f t="shared" si="5"/>
        <v>20.256</v>
      </c>
      <c r="L81" s="22">
        <f t="shared" si="6"/>
        <v>16.458</v>
      </c>
      <c r="M81" s="23">
        <f t="shared" si="7"/>
        <v>0.0612</v>
      </c>
      <c r="N81" s="22">
        <f t="shared" si="8"/>
        <v>21.57648061</v>
      </c>
      <c r="O81" s="23">
        <f t="shared" si="9"/>
        <v>0.124</v>
      </c>
      <c r="P81" s="22">
        <f t="shared" si="10"/>
        <v>23.12328767</v>
      </c>
      <c r="Q81" s="20">
        <f>SUMIFS(Entradas!D:D,Entradas!B:B,B81,Entradas!C:C,C81) - SUMIFS(Vendas!E:E,Vendas!C:C,B81,Vendas!D:D,C81)</f>
        <v>0</v>
      </c>
    </row>
    <row r="82">
      <c r="A82" s="19" t="str">
        <f t="shared" si="1"/>
        <v>P082</v>
      </c>
      <c r="B82" s="20" t="s">
        <v>148</v>
      </c>
      <c r="C82" s="20"/>
      <c r="D82" s="20" t="s">
        <v>85</v>
      </c>
      <c r="E82" s="25">
        <v>28.9</v>
      </c>
      <c r="F82" s="22">
        <v>3.83</v>
      </c>
      <c r="G82" s="22">
        <v>4.8</v>
      </c>
      <c r="H82" s="22">
        <f t="shared" si="2"/>
        <v>5</v>
      </c>
      <c r="I82" s="22">
        <f t="shared" si="3"/>
        <v>42.53</v>
      </c>
      <c r="J82" s="23">
        <f t="shared" si="4"/>
        <v>0.6</v>
      </c>
      <c r="K82" s="22">
        <f t="shared" si="5"/>
        <v>68.048</v>
      </c>
      <c r="L82" s="22">
        <f t="shared" si="6"/>
        <v>55.289</v>
      </c>
      <c r="M82" s="23">
        <f t="shared" si="7"/>
        <v>0.0612</v>
      </c>
      <c r="N82" s="22">
        <f t="shared" si="8"/>
        <v>72.48402216</v>
      </c>
      <c r="O82" s="23">
        <f t="shared" si="9"/>
        <v>0.124</v>
      </c>
      <c r="P82" s="22">
        <f t="shared" si="10"/>
        <v>77.6803653</v>
      </c>
      <c r="Q82" s="20">
        <f>SUMIFS(Entradas!D:D,Entradas!B:B,B82,Entradas!C:C,C82) - SUMIFS(Vendas!E:E,Vendas!C:C,B82,Vendas!D:D,C82)</f>
        <v>0</v>
      </c>
    </row>
    <row r="83">
      <c r="A83" s="19" t="str">
        <f t="shared" si="1"/>
        <v>P083</v>
      </c>
      <c r="B83" s="20" t="s">
        <v>149</v>
      </c>
      <c r="C83" s="20"/>
      <c r="D83" s="20" t="s">
        <v>85</v>
      </c>
      <c r="E83" s="25">
        <v>28.9</v>
      </c>
      <c r="F83" s="22">
        <v>3.83</v>
      </c>
      <c r="G83" s="22">
        <v>4.8</v>
      </c>
      <c r="H83" s="22">
        <f t="shared" si="2"/>
        <v>5</v>
      </c>
      <c r="I83" s="22">
        <f t="shared" si="3"/>
        <v>42.53</v>
      </c>
      <c r="J83" s="23">
        <f t="shared" si="4"/>
        <v>0.6</v>
      </c>
      <c r="K83" s="22">
        <f t="shared" si="5"/>
        <v>68.048</v>
      </c>
      <c r="L83" s="22">
        <f t="shared" si="6"/>
        <v>55.289</v>
      </c>
      <c r="M83" s="23">
        <f t="shared" si="7"/>
        <v>0.0612</v>
      </c>
      <c r="N83" s="22">
        <f t="shared" si="8"/>
        <v>72.48402216</v>
      </c>
      <c r="O83" s="23">
        <f t="shared" si="9"/>
        <v>0.124</v>
      </c>
      <c r="P83" s="22">
        <f t="shared" si="10"/>
        <v>77.6803653</v>
      </c>
      <c r="Q83" s="20">
        <f>SUMIFS(Entradas!D:D,Entradas!B:B,B83,Entradas!C:C,C83) - SUMIFS(Vendas!E:E,Vendas!C:C,B83,Vendas!D:D,C83)</f>
        <v>0</v>
      </c>
    </row>
    <row r="84">
      <c r="A84" s="19" t="str">
        <f t="shared" si="1"/>
        <v>P084</v>
      </c>
      <c r="B84" s="20" t="s">
        <v>150</v>
      </c>
      <c r="C84" s="20"/>
      <c r="D84" s="20" t="s">
        <v>85</v>
      </c>
      <c r="E84" s="25">
        <v>24.9</v>
      </c>
      <c r="F84" s="22">
        <v>3.3</v>
      </c>
      <c r="G84" s="22">
        <v>4.13</v>
      </c>
      <c r="H84" s="22">
        <f t="shared" si="2"/>
        <v>5</v>
      </c>
      <c r="I84" s="22">
        <f t="shared" si="3"/>
        <v>37.33</v>
      </c>
      <c r="J84" s="23">
        <f t="shared" si="4"/>
        <v>0.6</v>
      </c>
      <c r="K84" s="22">
        <f t="shared" si="5"/>
        <v>59.728</v>
      </c>
      <c r="L84" s="22">
        <f t="shared" si="6"/>
        <v>48.529</v>
      </c>
      <c r="M84" s="23">
        <f t="shared" si="7"/>
        <v>0.0612</v>
      </c>
      <c r="N84" s="22">
        <f t="shared" si="8"/>
        <v>63.62164465</v>
      </c>
      <c r="O84" s="23">
        <f t="shared" si="9"/>
        <v>0.124</v>
      </c>
      <c r="P84" s="22">
        <f t="shared" si="10"/>
        <v>68.1826484</v>
      </c>
      <c r="Q84" s="20">
        <f>SUMIFS(Entradas!D:D,Entradas!B:B,B84,Entradas!C:C,C84) - SUMIFS(Vendas!E:E,Vendas!C:C,B84,Vendas!D:D,C84)</f>
        <v>0</v>
      </c>
    </row>
    <row r="85">
      <c r="A85" s="19" t="str">
        <f t="shared" si="1"/>
        <v>P085</v>
      </c>
      <c r="B85" s="20" t="s">
        <v>151</v>
      </c>
      <c r="C85" s="20"/>
      <c r="D85" s="20" t="s">
        <v>85</v>
      </c>
      <c r="E85" s="25">
        <v>11.61</v>
      </c>
      <c r="F85" s="22">
        <v>1.54</v>
      </c>
      <c r="G85" s="22">
        <v>1.93</v>
      </c>
      <c r="H85" s="22">
        <f t="shared" si="2"/>
        <v>5</v>
      </c>
      <c r="I85" s="22">
        <f t="shared" si="3"/>
        <v>20.08</v>
      </c>
      <c r="J85" s="23">
        <f t="shared" si="4"/>
        <v>0.6</v>
      </c>
      <c r="K85" s="22">
        <f t="shared" si="5"/>
        <v>32.128</v>
      </c>
      <c r="L85" s="22">
        <f t="shared" si="6"/>
        <v>26.104</v>
      </c>
      <c r="M85" s="23">
        <f t="shared" si="7"/>
        <v>0.0612</v>
      </c>
      <c r="N85" s="22">
        <f t="shared" si="8"/>
        <v>34.22241159</v>
      </c>
      <c r="O85" s="23">
        <f t="shared" si="9"/>
        <v>0.124</v>
      </c>
      <c r="P85" s="22">
        <f t="shared" si="10"/>
        <v>36.67579909</v>
      </c>
      <c r="Q85" s="20">
        <f>SUMIFS(Entradas!D:D,Entradas!B:B,B85,Entradas!C:C,C85) - SUMIFS(Vendas!E:E,Vendas!C:C,B85,Vendas!D:D,C85)</f>
        <v>0</v>
      </c>
    </row>
    <row r="86">
      <c r="A86" s="19" t="str">
        <f t="shared" si="1"/>
        <v>P086</v>
      </c>
      <c r="B86" s="20" t="s">
        <v>152</v>
      </c>
      <c r="C86" s="20"/>
      <c r="D86" s="20" t="s">
        <v>85</v>
      </c>
      <c r="E86" s="25">
        <v>6.93</v>
      </c>
      <c r="F86" s="22">
        <v>0.92</v>
      </c>
      <c r="G86" s="22">
        <v>1.15</v>
      </c>
      <c r="H86" s="22">
        <f t="shared" si="2"/>
        <v>5</v>
      </c>
      <c r="I86" s="22">
        <f t="shared" si="3"/>
        <v>14</v>
      </c>
      <c r="J86" s="23">
        <f t="shared" si="4"/>
        <v>0.6</v>
      </c>
      <c r="K86" s="22">
        <f t="shared" si="5"/>
        <v>22.4</v>
      </c>
      <c r="L86" s="22">
        <f t="shared" si="6"/>
        <v>18.2</v>
      </c>
      <c r="M86" s="23">
        <f t="shared" si="7"/>
        <v>0.0612</v>
      </c>
      <c r="N86" s="22">
        <f t="shared" si="8"/>
        <v>23.86024712</v>
      </c>
      <c r="O86" s="23">
        <f t="shared" si="9"/>
        <v>0.124</v>
      </c>
      <c r="P86" s="22">
        <f t="shared" si="10"/>
        <v>25.57077626</v>
      </c>
      <c r="Q86" s="20">
        <f>SUMIFS(Entradas!D:D,Entradas!B:B,B86,Entradas!C:C,C86) - SUMIFS(Vendas!E:E,Vendas!C:C,B86,Vendas!D:D,C86)</f>
        <v>0</v>
      </c>
    </row>
    <row r="87">
      <c r="A87" s="19" t="str">
        <f t="shared" si="1"/>
        <v>P087</v>
      </c>
      <c r="B87" s="20" t="s">
        <v>153</v>
      </c>
      <c r="C87" s="20"/>
      <c r="D87" s="20" t="s">
        <v>85</v>
      </c>
      <c r="E87" s="25">
        <v>10.71</v>
      </c>
      <c r="F87" s="22">
        <v>1.42</v>
      </c>
      <c r="G87" s="22">
        <v>1.78</v>
      </c>
      <c r="H87" s="22">
        <f t="shared" si="2"/>
        <v>5</v>
      </c>
      <c r="I87" s="22">
        <f t="shared" si="3"/>
        <v>18.91</v>
      </c>
      <c r="J87" s="23">
        <f t="shared" si="4"/>
        <v>0.6</v>
      </c>
      <c r="K87" s="22">
        <f t="shared" si="5"/>
        <v>30.256</v>
      </c>
      <c r="L87" s="22">
        <f t="shared" si="6"/>
        <v>24.583</v>
      </c>
      <c r="M87" s="23">
        <f t="shared" si="7"/>
        <v>0.0612</v>
      </c>
      <c r="N87" s="22">
        <f t="shared" si="8"/>
        <v>32.22837665</v>
      </c>
      <c r="O87" s="23">
        <f t="shared" si="9"/>
        <v>0.124</v>
      </c>
      <c r="P87" s="22">
        <f t="shared" si="10"/>
        <v>34.53881279</v>
      </c>
      <c r="Q87" s="20">
        <f>SUMIFS(Entradas!D:D,Entradas!B:B,B87,Entradas!C:C,C87) - SUMIFS(Vendas!E:E,Vendas!C:C,B87,Vendas!D:D,C87)</f>
        <v>0</v>
      </c>
    </row>
    <row r="88">
      <c r="A88" s="19" t="str">
        <f t="shared" si="1"/>
        <v>P088</v>
      </c>
      <c r="B88" s="20" t="s">
        <v>154</v>
      </c>
      <c r="C88" s="20"/>
      <c r="D88" s="20" t="s">
        <v>85</v>
      </c>
      <c r="E88" s="25">
        <v>25.9</v>
      </c>
      <c r="F88" s="22">
        <v>3.43</v>
      </c>
      <c r="G88" s="22">
        <v>4.3</v>
      </c>
      <c r="H88" s="22">
        <f t="shared" si="2"/>
        <v>5</v>
      </c>
      <c r="I88" s="22">
        <f t="shared" si="3"/>
        <v>38.63</v>
      </c>
      <c r="J88" s="23">
        <f t="shared" si="4"/>
        <v>0.6</v>
      </c>
      <c r="K88" s="22">
        <f t="shared" si="5"/>
        <v>61.808</v>
      </c>
      <c r="L88" s="22">
        <f t="shared" si="6"/>
        <v>50.219</v>
      </c>
      <c r="M88" s="23">
        <f t="shared" si="7"/>
        <v>0.0612</v>
      </c>
      <c r="N88" s="22">
        <f t="shared" si="8"/>
        <v>65.83723903</v>
      </c>
      <c r="O88" s="23">
        <f t="shared" si="9"/>
        <v>0.124</v>
      </c>
      <c r="P88" s="22">
        <f t="shared" si="10"/>
        <v>70.55707763</v>
      </c>
      <c r="Q88" s="20">
        <f>SUMIFS(Entradas!D:D,Entradas!B:B,B88,Entradas!C:C,C88) - SUMIFS(Vendas!E:E,Vendas!C:C,B88,Vendas!D:D,C88)</f>
        <v>0</v>
      </c>
    </row>
    <row r="89">
      <c r="A89" s="19" t="str">
        <f t="shared" si="1"/>
        <v>P089</v>
      </c>
      <c r="B89" s="20" t="s">
        <v>155</v>
      </c>
      <c r="C89" s="20"/>
      <c r="D89" s="20" t="s">
        <v>85</v>
      </c>
      <c r="E89" s="25">
        <v>19.9</v>
      </c>
      <c r="F89" s="22">
        <v>2.64</v>
      </c>
      <c r="G89" s="22">
        <v>3.3</v>
      </c>
      <c r="H89" s="22">
        <f t="shared" si="2"/>
        <v>5</v>
      </c>
      <c r="I89" s="22">
        <f t="shared" si="3"/>
        <v>30.84</v>
      </c>
      <c r="J89" s="23">
        <f t="shared" si="4"/>
        <v>0.6</v>
      </c>
      <c r="K89" s="22">
        <f t="shared" si="5"/>
        <v>49.344</v>
      </c>
      <c r="L89" s="22">
        <f t="shared" si="6"/>
        <v>40.092</v>
      </c>
      <c r="M89" s="23">
        <f t="shared" si="7"/>
        <v>0.0612</v>
      </c>
      <c r="N89" s="22">
        <f t="shared" si="8"/>
        <v>52.56071581</v>
      </c>
      <c r="O89" s="23">
        <f t="shared" si="9"/>
        <v>0.124</v>
      </c>
      <c r="P89" s="22">
        <f t="shared" si="10"/>
        <v>56.32876712</v>
      </c>
      <c r="Q89" s="20">
        <f>SUMIFS(Entradas!D:D,Entradas!B:B,B89,Entradas!C:C,C89) - SUMIFS(Vendas!E:E,Vendas!C:C,B89,Vendas!D:D,C89)</f>
        <v>0</v>
      </c>
    </row>
    <row r="90">
      <c r="A90" s="19" t="str">
        <f t="shared" si="1"/>
        <v>P090</v>
      </c>
      <c r="B90" s="20" t="s">
        <v>156</v>
      </c>
      <c r="C90" s="20"/>
      <c r="D90" s="20" t="s">
        <v>85</v>
      </c>
      <c r="E90" s="25">
        <v>19.9</v>
      </c>
      <c r="F90" s="22">
        <v>2.64</v>
      </c>
      <c r="G90" s="22">
        <v>3.3</v>
      </c>
      <c r="H90" s="22">
        <f t="shared" si="2"/>
        <v>5</v>
      </c>
      <c r="I90" s="22">
        <f t="shared" si="3"/>
        <v>30.84</v>
      </c>
      <c r="J90" s="23">
        <f t="shared" si="4"/>
        <v>0.6</v>
      </c>
      <c r="K90" s="22">
        <f t="shared" si="5"/>
        <v>49.344</v>
      </c>
      <c r="L90" s="22">
        <f t="shared" si="6"/>
        <v>40.092</v>
      </c>
      <c r="M90" s="23">
        <f t="shared" si="7"/>
        <v>0.0612</v>
      </c>
      <c r="N90" s="22">
        <f t="shared" si="8"/>
        <v>52.56071581</v>
      </c>
      <c r="O90" s="23">
        <f t="shared" si="9"/>
        <v>0.124</v>
      </c>
      <c r="P90" s="22">
        <f t="shared" si="10"/>
        <v>56.32876712</v>
      </c>
      <c r="Q90" s="20">
        <f>SUMIFS(Entradas!D:D,Entradas!B:B,B90,Entradas!C:C,C90) - SUMIFS(Vendas!E:E,Vendas!C:C,B90,Vendas!D:D,C90)</f>
        <v>0</v>
      </c>
    </row>
    <row r="91">
      <c r="A91" s="19" t="str">
        <f t="shared" si="1"/>
        <v>P091</v>
      </c>
      <c r="B91" s="20" t="s">
        <v>157</v>
      </c>
      <c r="C91" s="20"/>
      <c r="D91" s="20" t="s">
        <v>85</v>
      </c>
      <c r="E91" s="25">
        <v>21.9</v>
      </c>
      <c r="F91" s="22">
        <v>2.9</v>
      </c>
      <c r="G91" s="22">
        <v>3.64</v>
      </c>
      <c r="H91" s="22">
        <f t="shared" si="2"/>
        <v>5</v>
      </c>
      <c r="I91" s="22">
        <f t="shared" si="3"/>
        <v>33.44</v>
      </c>
      <c r="J91" s="23">
        <f t="shared" si="4"/>
        <v>0.6</v>
      </c>
      <c r="K91" s="22">
        <f t="shared" si="5"/>
        <v>53.504</v>
      </c>
      <c r="L91" s="22">
        <f t="shared" si="6"/>
        <v>43.472</v>
      </c>
      <c r="M91" s="23">
        <f t="shared" si="7"/>
        <v>0.0612</v>
      </c>
      <c r="N91" s="22">
        <f t="shared" si="8"/>
        <v>56.99190456</v>
      </c>
      <c r="O91" s="23">
        <f t="shared" si="9"/>
        <v>0.124</v>
      </c>
      <c r="P91" s="22">
        <f t="shared" si="10"/>
        <v>61.07762557</v>
      </c>
      <c r="Q91" s="20">
        <f>SUMIFS(Entradas!D:D,Entradas!B:B,B91,Entradas!C:C,C91) - SUMIFS(Vendas!E:E,Vendas!C:C,B91,Vendas!D:D,C91)</f>
        <v>0</v>
      </c>
    </row>
    <row r="92">
      <c r="A92" s="19" t="str">
        <f t="shared" si="1"/>
        <v>P092</v>
      </c>
      <c r="B92" s="20" t="s">
        <v>158</v>
      </c>
      <c r="C92" s="20"/>
      <c r="D92" s="20" t="s">
        <v>85</v>
      </c>
      <c r="E92" s="25">
        <v>21.9</v>
      </c>
      <c r="F92" s="22">
        <v>2.9</v>
      </c>
      <c r="G92" s="22">
        <v>3.64</v>
      </c>
      <c r="H92" s="22">
        <f t="shared" si="2"/>
        <v>5</v>
      </c>
      <c r="I92" s="22">
        <f t="shared" si="3"/>
        <v>33.44</v>
      </c>
      <c r="J92" s="23">
        <f t="shared" si="4"/>
        <v>0.6</v>
      </c>
      <c r="K92" s="22">
        <f t="shared" si="5"/>
        <v>53.504</v>
      </c>
      <c r="L92" s="22">
        <f t="shared" si="6"/>
        <v>43.472</v>
      </c>
      <c r="M92" s="23">
        <f t="shared" si="7"/>
        <v>0.0612</v>
      </c>
      <c r="N92" s="22">
        <f t="shared" si="8"/>
        <v>56.99190456</v>
      </c>
      <c r="O92" s="23">
        <f t="shared" si="9"/>
        <v>0.124</v>
      </c>
      <c r="P92" s="22">
        <f t="shared" si="10"/>
        <v>61.07762557</v>
      </c>
      <c r="Q92" s="20">
        <f>SUMIFS(Entradas!D:D,Entradas!B:B,B92,Entradas!C:C,C92) - SUMIFS(Vendas!E:E,Vendas!C:C,B92,Vendas!D:D,C92)</f>
        <v>0</v>
      </c>
    </row>
    <row r="93">
      <c r="A93" s="19" t="str">
        <f t="shared" si="1"/>
        <v>P093</v>
      </c>
      <c r="B93" s="20" t="s">
        <v>159</v>
      </c>
      <c r="C93" s="20"/>
      <c r="D93" s="20" t="s">
        <v>85</v>
      </c>
      <c r="E93" s="25">
        <v>21.25</v>
      </c>
      <c r="F93" s="22">
        <v>2.81</v>
      </c>
      <c r="G93" s="22">
        <v>3.53</v>
      </c>
      <c r="H93" s="22">
        <f t="shared" si="2"/>
        <v>5</v>
      </c>
      <c r="I93" s="22">
        <f t="shared" si="3"/>
        <v>32.59</v>
      </c>
      <c r="J93" s="23">
        <f t="shared" si="4"/>
        <v>0.6</v>
      </c>
      <c r="K93" s="22">
        <f t="shared" si="5"/>
        <v>52.144</v>
      </c>
      <c r="L93" s="22">
        <f t="shared" si="6"/>
        <v>42.367</v>
      </c>
      <c r="M93" s="23">
        <f t="shared" si="7"/>
        <v>0.0612</v>
      </c>
      <c r="N93" s="22">
        <f t="shared" si="8"/>
        <v>55.5432467</v>
      </c>
      <c r="O93" s="23">
        <f t="shared" si="9"/>
        <v>0.124</v>
      </c>
      <c r="P93" s="22">
        <f t="shared" si="10"/>
        <v>59.52511416</v>
      </c>
      <c r="Q93" s="20">
        <f>SUMIFS(Entradas!D:D,Entradas!B:B,B93,Entradas!C:C,C93) - SUMIFS(Vendas!E:E,Vendas!C:C,B93,Vendas!D:D,C93)</f>
        <v>0</v>
      </c>
    </row>
    <row r="94">
      <c r="A94" s="19" t="str">
        <f t="shared" si="1"/>
        <v>P094</v>
      </c>
      <c r="B94" s="20" t="s">
        <v>160</v>
      </c>
      <c r="C94" s="20"/>
      <c r="D94" s="20" t="s">
        <v>85</v>
      </c>
      <c r="E94" s="25">
        <v>7.65</v>
      </c>
      <c r="F94" s="22">
        <v>1.01</v>
      </c>
      <c r="G94" s="22">
        <v>1.27</v>
      </c>
      <c r="H94" s="22">
        <f t="shared" si="2"/>
        <v>5</v>
      </c>
      <c r="I94" s="22">
        <f t="shared" si="3"/>
        <v>14.93</v>
      </c>
      <c r="J94" s="23">
        <f t="shared" si="4"/>
        <v>0.6</v>
      </c>
      <c r="K94" s="22">
        <f t="shared" si="5"/>
        <v>23.888</v>
      </c>
      <c r="L94" s="22">
        <f t="shared" si="6"/>
        <v>19.409</v>
      </c>
      <c r="M94" s="23">
        <f t="shared" si="7"/>
        <v>0.0612</v>
      </c>
      <c r="N94" s="22">
        <f t="shared" si="8"/>
        <v>25.44524925</v>
      </c>
      <c r="O94" s="23">
        <f t="shared" si="9"/>
        <v>0.124</v>
      </c>
      <c r="P94" s="22">
        <f t="shared" si="10"/>
        <v>27.26940639</v>
      </c>
      <c r="Q94" s="20">
        <f>SUMIFS(Entradas!D:D,Entradas!B:B,B94,Entradas!C:C,C94) - SUMIFS(Vendas!E:E,Vendas!C:C,B94,Vendas!D:D,C94)</f>
        <v>0</v>
      </c>
    </row>
    <row r="95">
      <c r="A95" s="19" t="str">
        <f t="shared" si="1"/>
        <v>P095</v>
      </c>
      <c r="B95" s="20" t="s">
        <v>161</v>
      </c>
      <c r="C95" s="20"/>
      <c r="D95" s="20" t="s">
        <v>85</v>
      </c>
      <c r="E95" s="25">
        <v>7.65</v>
      </c>
      <c r="F95" s="22">
        <v>1.01</v>
      </c>
      <c r="G95" s="22">
        <v>1.27</v>
      </c>
      <c r="H95" s="22">
        <f t="shared" si="2"/>
        <v>5</v>
      </c>
      <c r="I95" s="22">
        <f t="shared" si="3"/>
        <v>14.93</v>
      </c>
      <c r="J95" s="23">
        <f t="shared" si="4"/>
        <v>0.6</v>
      </c>
      <c r="K95" s="22">
        <f t="shared" si="5"/>
        <v>23.888</v>
      </c>
      <c r="L95" s="22">
        <f t="shared" si="6"/>
        <v>19.409</v>
      </c>
      <c r="M95" s="23">
        <f t="shared" si="7"/>
        <v>0.0612</v>
      </c>
      <c r="N95" s="22">
        <f t="shared" si="8"/>
        <v>25.44524925</v>
      </c>
      <c r="O95" s="23">
        <f t="shared" si="9"/>
        <v>0.124</v>
      </c>
      <c r="P95" s="22">
        <f t="shared" si="10"/>
        <v>27.26940639</v>
      </c>
      <c r="Q95" s="20">
        <f>SUMIFS(Entradas!D:D,Entradas!B:B,B95,Entradas!C:C,C95) - SUMIFS(Vendas!E:E,Vendas!C:C,B95,Vendas!D:D,C95)</f>
        <v>0</v>
      </c>
    </row>
    <row r="96">
      <c r="A96" s="19" t="str">
        <f t="shared" si="1"/>
        <v>P096</v>
      </c>
      <c r="B96" s="20" t="s">
        <v>162</v>
      </c>
      <c r="C96" s="20"/>
      <c r="D96" s="20" t="s">
        <v>85</v>
      </c>
      <c r="E96" s="25">
        <v>7.65</v>
      </c>
      <c r="F96" s="22">
        <v>1.01</v>
      </c>
      <c r="G96" s="22">
        <v>1.27</v>
      </c>
      <c r="H96" s="22">
        <f t="shared" si="2"/>
        <v>5</v>
      </c>
      <c r="I96" s="22">
        <f t="shared" si="3"/>
        <v>14.93</v>
      </c>
      <c r="J96" s="23">
        <f t="shared" si="4"/>
        <v>0.6</v>
      </c>
      <c r="K96" s="22">
        <f t="shared" si="5"/>
        <v>23.888</v>
      </c>
      <c r="L96" s="22">
        <f t="shared" si="6"/>
        <v>19.409</v>
      </c>
      <c r="M96" s="23">
        <f t="shared" si="7"/>
        <v>0.0612</v>
      </c>
      <c r="N96" s="22">
        <f t="shared" si="8"/>
        <v>25.44524925</v>
      </c>
      <c r="O96" s="23">
        <f t="shared" si="9"/>
        <v>0.124</v>
      </c>
      <c r="P96" s="22">
        <f t="shared" si="10"/>
        <v>27.26940639</v>
      </c>
      <c r="Q96" s="20">
        <f>SUMIFS(Entradas!D:D,Entradas!B:B,B96,Entradas!C:C,C96) - SUMIFS(Vendas!E:E,Vendas!C:C,B96,Vendas!D:D,C96)</f>
        <v>0</v>
      </c>
    </row>
    <row r="97">
      <c r="A97" s="19" t="str">
        <f t="shared" si="1"/>
        <v>P097</v>
      </c>
      <c r="B97" s="20" t="s">
        <v>163</v>
      </c>
      <c r="C97" s="20"/>
      <c r="D97" s="20" t="s">
        <v>85</v>
      </c>
      <c r="E97" s="25">
        <v>3.7</v>
      </c>
      <c r="F97" s="22">
        <v>0.49</v>
      </c>
      <c r="G97" s="22">
        <v>0.61</v>
      </c>
      <c r="H97" s="22">
        <f t="shared" si="2"/>
        <v>5</v>
      </c>
      <c r="I97" s="22">
        <f t="shared" si="3"/>
        <v>9.8</v>
      </c>
      <c r="J97" s="23">
        <f t="shared" si="4"/>
        <v>0.6</v>
      </c>
      <c r="K97" s="22">
        <f t="shared" si="5"/>
        <v>15.68</v>
      </c>
      <c r="L97" s="22">
        <f t="shared" si="6"/>
        <v>12.74</v>
      </c>
      <c r="M97" s="23">
        <f t="shared" si="7"/>
        <v>0.0612</v>
      </c>
      <c r="N97" s="22">
        <f t="shared" si="8"/>
        <v>16.70217299</v>
      </c>
      <c r="O97" s="23">
        <f t="shared" si="9"/>
        <v>0.124</v>
      </c>
      <c r="P97" s="22">
        <f t="shared" si="10"/>
        <v>17.89954338</v>
      </c>
      <c r="Q97" s="20">
        <f>SUMIFS(Entradas!D:D,Entradas!B:B,B97,Entradas!C:C,C97) - SUMIFS(Vendas!E:E,Vendas!C:C,B97,Vendas!D:D,C97)</f>
        <v>0</v>
      </c>
    </row>
    <row r="98">
      <c r="A98" s="19" t="str">
        <f t="shared" si="1"/>
        <v>P098</v>
      </c>
      <c r="B98" s="20" t="s">
        <v>164</v>
      </c>
      <c r="C98" s="20"/>
      <c r="D98" s="20" t="s">
        <v>85</v>
      </c>
      <c r="E98" s="25">
        <v>3.7</v>
      </c>
      <c r="F98" s="22">
        <v>0.49</v>
      </c>
      <c r="G98" s="22">
        <v>0.61</v>
      </c>
      <c r="H98" s="22">
        <f t="shared" si="2"/>
        <v>5</v>
      </c>
      <c r="I98" s="22">
        <f t="shared" si="3"/>
        <v>9.8</v>
      </c>
      <c r="J98" s="23">
        <f t="shared" si="4"/>
        <v>0.6</v>
      </c>
      <c r="K98" s="22">
        <f t="shared" si="5"/>
        <v>15.68</v>
      </c>
      <c r="L98" s="22">
        <f t="shared" si="6"/>
        <v>12.74</v>
      </c>
      <c r="M98" s="23">
        <f t="shared" si="7"/>
        <v>0.0612</v>
      </c>
      <c r="N98" s="22">
        <f t="shared" si="8"/>
        <v>16.70217299</v>
      </c>
      <c r="O98" s="23">
        <f t="shared" si="9"/>
        <v>0.124</v>
      </c>
      <c r="P98" s="22">
        <f t="shared" si="10"/>
        <v>17.89954338</v>
      </c>
      <c r="Q98" s="20">
        <f>SUMIFS(Entradas!D:D,Entradas!B:B,B98,Entradas!C:C,C98) - SUMIFS(Vendas!E:E,Vendas!C:C,B98,Vendas!D:D,C98)</f>
        <v>0</v>
      </c>
    </row>
    <row r="99">
      <c r="A99" s="19" t="str">
        <f t="shared" si="1"/>
        <v>P099</v>
      </c>
      <c r="B99" s="20" t="s">
        <v>165</v>
      </c>
      <c r="C99" s="20"/>
      <c r="D99" s="20" t="s">
        <v>85</v>
      </c>
      <c r="E99" s="25">
        <v>3.7</v>
      </c>
      <c r="F99" s="22">
        <v>0.49</v>
      </c>
      <c r="G99" s="22">
        <v>0.61</v>
      </c>
      <c r="H99" s="22">
        <f t="shared" si="2"/>
        <v>5</v>
      </c>
      <c r="I99" s="22">
        <f t="shared" si="3"/>
        <v>9.8</v>
      </c>
      <c r="J99" s="23">
        <f t="shared" si="4"/>
        <v>0.6</v>
      </c>
      <c r="K99" s="22">
        <f t="shared" si="5"/>
        <v>15.68</v>
      </c>
      <c r="L99" s="22">
        <f t="shared" si="6"/>
        <v>12.74</v>
      </c>
      <c r="M99" s="23">
        <f t="shared" si="7"/>
        <v>0.0612</v>
      </c>
      <c r="N99" s="22">
        <f t="shared" si="8"/>
        <v>16.70217299</v>
      </c>
      <c r="O99" s="23">
        <f t="shared" si="9"/>
        <v>0.124</v>
      </c>
      <c r="P99" s="22">
        <f t="shared" si="10"/>
        <v>17.89954338</v>
      </c>
      <c r="Q99" s="20">
        <f>SUMIFS(Entradas!D:D,Entradas!B:B,B99,Entradas!C:C,C99) - SUMIFS(Vendas!E:E,Vendas!C:C,B99,Vendas!D:D,C99)</f>
        <v>0</v>
      </c>
    </row>
    <row r="100">
      <c r="A100" s="19" t="str">
        <f t="shared" si="1"/>
        <v>P100</v>
      </c>
      <c r="B100" s="20" t="s">
        <v>166</v>
      </c>
      <c r="C100" s="20"/>
      <c r="D100" s="20" t="s">
        <v>85</v>
      </c>
      <c r="E100" s="25">
        <v>3.7</v>
      </c>
      <c r="F100" s="22">
        <v>0.49</v>
      </c>
      <c r="G100" s="22">
        <v>0.61</v>
      </c>
      <c r="H100" s="22">
        <f t="shared" si="2"/>
        <v>5</v>
      </c>
      <c r="I100" s="22">
        <f t="shared" si="3"/>
        <v>9.8</v>
      </c>
      <c r="J100" s="23">
        <f t="shared" si="4"/>
        <v>0.6</v>
      </c>
      <c r="K100" s="22">
        <f t="shared" si="5"/>
        <v>15.68</v>
      </c>
      <c r="L100" s="22">
        <f t="shared" si="6"/>
        <v>12.74</v>
      </c>
      <c r="M100" s="23">
        <f t="shared" si="7"/>
        <v>0.0612</v>
      </c>
      <c r="N100" s="22">
        <f t="shared" si="8"/>
        <v>16.70217299</v>
      </c>
      <c r="O100" s="23">
        <f t="shared" si="9"/>
        <v>0.124</v>
      </c>
      <c r="P100" s="22">
        <f t="shared" si="10"/>
        <v>17.89954338</v>
      </c>
      <c r="Q100" s="20">
        <f>SUMIFS(Entradas!D:D,Entradas!B:B,B100,Entradas!C:C,C100) - SUMIFS(Vendas!E:E,Vendas!C:C,B100,Vendas!D:D,C100)</f>
        <v>0</v>
      </c>
    </row>
    <row r="101">
      <c r="A101" s="19" t="str">
        <f t="shared" si="1"/>
        <v>P101</v>
      </c>
      <c r="B101" s="20" t="s">
        <v>167</v>
      </c>
      <c r="C101" s="20"/>
      <c r="D101" s="20" t="s">
        <v>85</v>
      </c>
      <c r="E101" s="25">
        <v>3.7</v>
      </c>
      <c r="F101" s="22">
        <v>0.49</v>
      </c>
      <c r="G101" s="22">
        <v>0.61</v>
      </c>
      <c r="H101" s="22">
        <f t="shared" si="2"/>
        <v>5</v>
      </c>
      <c r="I101" s="22">
        <f t="shared" si="3"/>
        <v>9.8</v>
      </c>
      <c r="J101" s="23">
        <f t="shared" si="4"/>
        <v>0.6</v>
      </c>
      <c r="K101" s="22">
        <f t="shared" si="5"/>
        <v>15.68</v>
      </c>
      <c r="L101" s="22">
        <f t="shared" si="6"/>
        <v>12.74</v>
      </c>
      <c r="M101" s="23">
        <f t="shared" si="7"/>
        <v>0.0612</v>
      </c>
      <c r="N101" s="22">
        <f t="shared" si="8"/>
        <v>16.70217299</v>
      </c>
      <c r="O101" s="23">
        <f t="shared" si="9"/>
        <v>0.124</v>
      </c>
      <c r="P101" s="22">
        <f t="shared" si="10"/>
        <v>17.89954338</v>
      </c>
      <c r="Q101" s="20">
        <f>SUMIFS(Entradas!D:D,Entradas!B:B,B101,Entradas!C:C,C101) - SUMIFS(Vendas!E:E,Vendas!C:C,B101,Vendas!D:D,C101)</f>
        <v>0</v>
      </c>
    </row>
    <row r="102">
      <c r="A102" s="19" t="str">
        <f t="shared" si="1"/>
        <v>P102</v>
      </c>
      <c r="B102" s="20" t="s">
        <v>168</v>
      </c>
      <c r="C102" s="20"/>
      <c r="D102" s="20" t="s">
        <v>85</v>
      </c>
      <c r="E102" s="25">
        <v>3.7</v>
      </c>
      <c r="F102" s="22">
        <v>0.49</v>
      </c>
      <c r="G102" s="22">
        <v>0.61</v>
      </c>
      <c r="H102" s="22">
        <f t="shared" si="2"/>
        <v>5</v>
      </c>
      <c r="I102" s="22">
        <f t="shared" si="3"/>
        <v>9.8</v>
      </c>
      <c r="J102" s="23">
        <f t="shared" si="4"/>
        <v>0.6</v>
      </c>
      <c r="K102" s="22">
        <f t="shared" si="5"/>
        <v>15.68</v>
      </c>
      <c r="L102" s="22">
        <f t="shared" si="6"/>
        <v>12.74</v>
      </c>
      <c r="M102" s="23">
        <f t="shared" si="7"/>
        <v>0.0612</v>
      </c>
      <c r="N102" s="22">
        <f t="shared" si="8"/>
        <v>16.70217299</v>
      </c>
      <c r="O102" s="23">
        <f t="shared" si="9"/>
        <v>0.124</v>
      </c>
      <c r="P102" s="22">
        <f t="shared" si="10"/>
        <v>17.89954338</v>
      </c>
      <c r="Q102" s="20">
        <f>SUMIFS(Entradas!D:D,Entradas!B:B,B102,Entradas!C:C,C102) - SUMIFS(Vendas!E:E,Vendas!C:C,B102,Vendas!D:D,C102)</f>
        <v>0</v>
      </c>
    </row>
    <row r="103">
      <c r="A103" s="19" t="str">
        <f t="shared" si="1"/>
        <v>P103</v>
      </c>
      <c r="B103" s="20" t="s">
        <v>169</v>
      </c>
      <c r="C103" s="20"/>
      <c r="D103" s="20" t="s">
        <v>85</v>
      </c>
      <c r="E103" s="25">
        <v>6.5</v>
      </c>
      <c r="F103" s="22">
        <v>0.86</v>
      </c>
      <c r="G103" s="22">
        <v>1.08</v>
      </c>
      <c r="H103" s="22">
        <f t="shared" si="2"/>
        <v>5</v>
      </c>
      <c r="I103" s="22">
        <f t="shared" si="3"/>
        <v>13.44</v>
      </c>
      <c r="J103" s="23">
        <f t="shared" si="4"/>
        <v>0.6</v>
      </c>
      <c r="K103" s="22">
        <f t="shared" si="5"/>
        <v>21.504</v>
      </c>
      <c r="L103" s="22">
        <f t="shared" si="6"/>
        <v>17.472</v>
      </c>
      <c r="M103" s="23">
        <f t="shared" si="7"/>
        <v>0.0612</v>
      </c>
      <c r="N103" s="22">
        <f t="shared" si="8"/>
        <v>22.90583724</v>
      </c>
      <c r="O103" s="23">
        <f t="shared" si="9"/>
        <v>0.124</v>
      </c>
      <c r="P103" s="22">
        <f t="shared" si="10"/>
        <v>24.54794521</v>
      </c>
      <c r="Q103" s="20">
        <f>SUMIFS(Entradas!D:D,Entradas!B:B,B103,Entradas!C:C,C103) - SUMIFS(Vendas!E:E,Vendas!C:C,B103,Vendas!D:D,C103)</f>
        <v>0</v>
      </c>
    </row>
    <row r="104">
      <c r="A104" s="19" t="str">
        <f t="shared" si="1"/>
        <v>P104</v>
      </c>
      <c r="B104" s="20" t="s">
        <v>170</v>
      </c>
      <c r="C104" s="20"/>
      <c r="D104" s="20" t="s">
        <v>85</v>
      </c>
      <c r="E104" s="25">
        <v>7.25</v>
      </c>
      <c r="F104" s="22">
        <v>0.96</v>
      </c>
      <c r="G104" s="22">
        <v>1.2</v>
      </c>
      <c r="H104" s="22">
        <f t="shared" si="2"/>
        <v>5</v>
      </c>
      <c r="I104" s="22">
        <f t="shared" si="3"/>
        <v>14.41</v>
      </c>
      <c r="J104" s="23">
        <f t="shared" si="4"/>
        <v>0.6</v>
      </c>
      <c r="K104" s="22">
        <f t="shared" si="5"/>
        <v>23.056</v>
      </c>
      <c r="L104" s="22">
        <f t="shared" si="6"/>
        <v>18.733</v>
      </c>
      <c r="M104" s="23">
        <f t="shared" si="7"/>
        <v>0.0612</v>
      </c>
      <c r="N104" s="22">
        <f t="shared" si="8"/>
        <v>24.5590115</v>
      </c>
      <c r="O104" s="23">
        <f t="shared" si="9"/>
        <v>0.124</v>
      </c>
      <c r="P104" s="22">
        <f t="shared" si="10"/>
        <v>26.3196347</v>
      </c>
      <c r="Q104" s="20">
        <f>SUMIFS(Entradas!D:D,Entradas!B:B,B104,Entradas!C:C,C104) - SUMIFS(Vendas!E:E,Vendas!C:C,B104,Vendas!D:D,C104)</f>
        <v>0</v>
      </c>
    </row>
    <row r="105">
      <c r="A105" s="19" t="str">
        <f t="shared" si="1"/>
        <v>P105</v>
      </c>
      <c r="B105" s="20" t="s">
        <v>171</v>
      </c>
      <c r="C105" s="20"/>
      <c r="D105" s="20" t="s">
        <v>85</v>
      </c>
      <c r="E105" s="25">
        <v>7.25</v>
      </c>
      <c r="F105" s="22">
        <v>0.96</v>
      </c>
      <c r="G105" s="22">
        <v>1.2</v>
      </c>
      <c r="H105" s="22">
        <f t="shared" si="2"/>
        <v>5</v>
      </c>
      <c r="I105" s="22">
        <f t="shared" si="3"/>
        <v>14.41</v>
      </c>
      <c r="J105" s="23">
        <f t="shared" si="4"/>
        <v>0.6</v>
      </c>
      <c r="K105" s="22">
        <f t="shared" si="5"/>
        <v>23.056</v>
      </c>
      <c r="L105" s="22">
        <f t="shared" si="6"/>
        <v>18.733</v>
      </c>
      <c r="M105" s="23">
        <f t="shared" si="7"/>
        <v>0.0612</v>
      </c>
      <c r="N105" s="22">
        <f t="shared" si="8"/>
        <v>24.5590115</v>
      </c>
      <c r="O105" s="23">
        <f t="shared" si="9"/>
        <v>0.124</v>
      </c>
      <c r="P105" s="22">
        <f t="shared" si="10"/>
        <v>26.3196347</v>
      </c>
      <c r="Q105" s="20">
        <f>SUMIFS(Entradas!D:D,Entradas!B:B,B105,Entradas!C:C,C105) - SUMIFS(Vendas!E:E,Vendas!C:C,B105,Vendas!D:D,C105)</f>
        <v>0</v>
      </c>
    </row>
    <row r="106">
      <c r="A106" s="19" t="str">
        <f t="shared" si="1"/>
        <v>P106</v>
      </c>
      <c r="B106" s="20" t="s">
        <v>172</v>
      </c>
      <c r="C106" s="20"/>
      <c r="D106" s="20" t="s">
        <v>85</v>
      </c>
      <c r="E106" s="25">
        <v>6.5</v>
      </c>
      <c r="F106" s="22">
        <v>0.86</v>
      </c>
      <c r="G106" s="22">
        <v>1.08</v>
      </c>
      <c r="H106" s="22">
        <f t="shared" si="2"/>
        <v>5</v>
      </c>
      <c r="I106" s="22">
        <f t="shared" si="3"/>
        <v>13.44</v>
      </c>
      <c r="J106" s="23">
        <f t="shared" si="4"/>
        <v>0.6</v>
      </c>
      <c r="K106" s="22">
        <f t="shared" si="5"/>
        <v>21.504</v>
      </c>
      <c r="L106" s="22">
        <f t="shared" si="6"/>
        <v>17.472</v>
      </c>
      <c r="M106" s="23">
        <f t="shared" si="7"/>
        <v>0.0612</v>
      </c>
      <c r="N106" s="22">
        <f t="shared" si="8"/>
        <v>22.90583724</v>
      </c>
      <c r="O106" s="23">
        <f t="shared" si="9"/>
        <v>0.124</v>
      </c>
      <c r="P106" s="22">
        <f t="shared" si="10"/>
        <v>24.54794521</v>
      </c>
      <c r="Q106" s="20">
        <f>SUMIFS(Entradas!D:D,Entradas!B:B,B106,Entradas!C:C,C106) - SUMIFS(Vendas!E:E,Vendas!C:C,B106,Vendas!D:D,C106)</f>
        <v>0</v>
      </c>
    </row>
    <row r="107">
      <c r="A107" s="19" t="str">
        <f t="shared" si="1"/>
        <v>P107</v>
      </c>
      <c r="B107" s="20" t="s">
        <v>173</v>
      </c>
      <c r="C107" s="20"/>
      <c r="D107" s="20" t="s">
        <v>85</v>
      </c>
      <c r="E107" s="25">
        <v>6.5</v>
      </c>
      <c r="F107" s="22">
        <v>0.86</v>
      </c>
      <c r="G107" s="22">
        <v>1.08</v>
      </c>
      <c r="H107" s="22">
        <f t="shared" si="2"/>
        <v>5</v>
      </c>
      <c r="I107" s="22">
        <f t="shared" si="3"/>
        <v>13.44</v>
      </c>
      <c r="J107" s="23">
        <f t="shared" si="4"/>
        <v>0.6</v>
      </c>
      <c r="K107" s="22">
        <f t="shared" si="5"/>
        <v>21.504</v>
      </c>
      <c r="L107" s="22">
        <f t="shared" si="6"/>
        <v>17.472</v>
      </c>
      <c r="M107" s="23">
        <f t="shared" si="7"/>
        <v>0.0612</v>
      </c>
      <c r="N107" s="22">
        <f t="shared" si="8"/>
        <v>22.90583724</v>
      </c>
      <c r="O107" s="23">
        <f t="shared" si="9"/>
        <v>0.124</v>
      </c>
      <c r="P107" s="22">
        <f t="shared" si="10"/>
        <v>24.54794521</v>
      </c>
      <c r="Q107" s="20">
        <f>SUMIFS(Entradas!D:D,Entradas!B:B,B107,Entradas!C:C,C107) - SUMIFS(Vendas!E:E,Vendas!C:C,B107,Vendas!D:D,C107)</f>
        <v>0</v>
      </c>
    </row>
    <row r="108">
      <c r="A108" s="19" t="str">
        <f t="shared" si="1"/>
        <v>P108</v>
      </c>
      <c r="D108" s="26"/>
      <c r="E108" s="21"/>
      <c r="F108" s="22"/>
      <c r="G108" s="22"/>
      <c r="H108" s="22" t="str">
        <f t="shared" si="2"/>
        <v/>
      </c>
      <c r="I108" s="22">
        <f t="shared" si="3"/>
        <v>0</v>
      </c>
      <c r="J108" s="23" t="str">
        <f t="shared" si="4"/>
        <v/>
      </c>
      <c r="K108" s="22">
        <f t="shared" si="5"/>
        <v>0</v>
      </c>
      <c r="L108" s="22">
        <f t="shared" si="6"/>
        <v>0</v>
      </c>
      <c r="M108" s="23">
        <f t="shared" si="7"/>
        <v>0.0612</v>
      </c>
      <c r="N108" s="22">
        <f t="shared" si="8"/>
        <v>0</v>
      </c>
      <c r="O108" s="23">
        <f t="shared" si="9"/>
        <v>0.124</v>
      </c>
      <c r="P108" s="22">
        <f t="shared" si="10"/>
        <v>0</v>
      </c>
      <c r="Q108" s="20">
        <f>SUMIFS(Entradas!D:D,Entradas!B:B,B108,Entradas!C:C,C108) - SUMIFS(Vendas!E:E,Vendas!C:C,B108,Vendas!D:D,C108)</f>
        <v>0</v>
      </c>
    </row>
    <row r="109">
      <c r="A109" s="19" t="str">
        <f t="shared" si="1"/>
        <v>P109</v>
      </c>
      <c r="D109" s="19"/>
      <c r="E109" s="21"/>
      <c r="F109" s="22"/>
      <c r="G109" s="22"/>
      <c r="H109" s="22" t="str">
        <f t="shared" si="2"/>
        <v/>
      </c>
      <c r="I109" s="22">
        <f t="shared" si="3"/>
        <v>0</v>
      </c>
      <c r="J109" s="23" t="str">
        <f t="shared" si="4"/>
        <v/>
      </c>
      <c r="K109" s="22">
        <f t="shared" si="5"/>
        <v>0</v>
      </c>
      <c r="L109" s="22">
        <f t="shared" si="6"/>
        <v>0</v>
      </c>
      <c r="M109" s="23">
        <f t="shared" si="7"/>
        <v>0.0612</v>
      </c>
      <c r="N109" s="22">
        <f t="shared" si="8"/>
        <v>0</v>
      </c>
      <c r="O109" s="23">
        <f t="shared" si="9"/>
        <v>0.124</v>
      </c>
      <c r="P109" s="22">
        <f t="shared" si="10"/>
        <v>0</v>
      </c>
      <c r="Q109" s="20">
        <f>SUMIFS(Entradas!D:D,Entradas!B:B,B109,Entradas!C:C,C109) - SUMIFS(Vendas!E:E,Vendas!C:C,B109,Vendas!D:D,C109)</f>
        <v>0</v>
      </c>
    </row>
    <row r="110">
      <c r="A110" s="19" t="str">
        <f t="shared" si="1"/>
        <v>P110</v>
      </c>
      <c r="D110" s="19"/>
      <c r="E110" s="21"/>
      <c r="F110" s="22"/>
      <c r="G110" s="22"/>
      <c r="H110" s="22" t="str">
        <f t="shared" si="2"/>
        <v/>
      </c>
      <c r="I110" s="22">
        <f t="shared" si="3"/>
        <v>0</v>
      </c>
      <c r="J110" s="23" t="str">
        <f t="shared" si="4"/>
        <v/>
      </c>
      <c r="K110" s="22">
        <f t="shared" si="5"/>
        <v>0</v>
      </c>
      <c r="L110" s="22">
        <f t="shared" si="6"/>
        <v>0</v>
      </c>
      <c r="M110" s="23">
        <f t="shared" si="7"/>
        <v>0.0612</v>
      </c>
      <c r="N110" s="22">
        <f t="shared" si="8"/>
        <v>0</v>
      </c>
      <c r="O110" s="23">
        <f t="shared" si="9"/>
        <v>0.124</v>
      </c>
      <c r="P110" s="22">
        <f t="shared" si="10"/>
        <v>0</v>
      </c>
      <c r="Q110" s="20">
        <f>SUMIFS(Entradas!D:D,Entradas!B:B,B110,Entradas!C:C,C110) - SUMIFS(Vendas!E:E,Vendas!C:C,B110,Vendas!D:D,C110)</f>
        <v>0</v>
      </c>
    </row>
    <row r="111">
      <c r="A111" s="19" t="str">
        <f t="shared" si="1"/>
        <v>P111</v>
      </c>
      <c r="D111" s="19"/>
      <c r="E111" s="21"/>
      <c r="F111" s="22"/>
      <c r="G111" s="22"/>
      <c r="H111" s="22" t="str">
        <f t="shared" si="2"/>
        <v/>
      </c>
      <c r="I111" s="22">
        <f t="shared" si="3"/>
        <v>0</v>
      </c>
      <c r="J111" s="23" t="str">
        <f t="shared" si="4"/>
        <v/>
      </c>
      <c r="K111" s="22">
        <f t="shared" si="5"/>
        <v>0</v>
      </c>
      <c r="L111" s="22">
        <f t="shared" si="6"/>
        <v>0</v>
      </c>
      <c r="M111" s="23">
        <f t="shared" si="7"/>
        <v>0.0612</v>
      </c>
      <c r="N111" s="22">
        <f t="shared" si="8"/>
        <v>0</v>
      </c>
      <c r="O111" s="23">
        <f t="shared" si="9"/>
        <v>0.124</v>
      </c>
      <c r="P111" s="22">
        <f t="shared" si="10"/>
        <v>0</v>
      </c>
      <c r="Q111" s="20">
        <f>SUMIFS(Entradas!D:D,Entradas!B:B,B111,Entradas!C:C,C111) - SUMIFS(Vendas!E:E,Vendas!C:C,B111,Vendas!D:D,C111)</f>
        <v>0</v>
      </c>
    </row>
    <row r="112">
      <c r="A112" s="19" t="str">
        <f t="shared" si="1"/>
        <v>P112</v>
      </c>
      <c r="D112" s="19"/>
      <c r="E112" s="21"/>
      <c r="F112" s="22"/>
      <c r="G112" s="22"/>
      <c r="H112" s="22" t="str">
        <f t="shared" si="2"/>
        <v/>
      </c>
      <c r="I112" s="22">
        <f t="shared" si="3"/>
        <v>0</v>
      </c>
      <c r="J112" s="23" t="str">
        <f t="shared" si="4"/>
        <v/>
      </c>
      <c r="K112" s="22">
        <f t="shared" si="5"/>
        <v>0</v>
      </c>
      <c r="L112" s="22">
        <f t="shared" si="6"/>
        <v>0</v>
      </c>
      <c r="M112" s="23">
        <f t="shared" si="7"/>
        <v>0.0612</v>
      </c>
      <c r="N112" s="22">
        <f t="shared" si="8"/>
        <v>0</v>
      </c>
      <c r="O112" s="23">
        <f t="shared" si="9"/>
        <v>0.124</v>
      </c>
      <c r="P112" s="22">
        <f t="shared" si="10"/>
        <v>0</v>
      </c>
      <c r="Q112" s="20">
        <f>SUMIFS(Entradas!D:D,Entradas!B:B,B112,Entradas!C:C,C112) - SUMIFS(Vendas!E:E,Vendas!C:C,B112,Vendas!D:D,C112)</f>
        <v>0</v>
      </c>
    </row>
    <row r="113">
      <c r="A113" s="19" t="str">
        <f t="shared" si="1"/>
        <v>P113</v>
      </c>
      <c r="D113" s="19"/>
      <c r="E113" s="21"/>
      <c r="F113" s="22"/>
      <c r="G113" s="22"/>
      <c r="H113" s="22" t="str">
        <f t="shared" si="2"/>
        <v/>
      </c>
      <c r="I113" s="22">
        <f t="shared" si="3"/>
        <v>0</v>
      </c>
      <c r="J113" s="23" t="str">
        <f t="shared" si="4"/>
        <v/>
      </c>
      <c r="K113" s="22">
        <f t="shared" si="5"/>
        <v>0</v>
      </c>
      <c r="L113" s="22">
        <f t="shared" si="6"/>
        <v>0</v>
      </c>
      <c r="M113" s="23">
        <f t="shared" si="7"/>
        <v>0.0612</v>
      </c>
      <c r="N113" s="22">
        <f t="shared" si="8"/>
        <v>0</v>
      </c>
      <c r="O113" s="23">
        <f t="shared" si="9"/>
        <v>0.124</v>
      </c>
      <c r="P113" s="22">
        <f t="shared" si="10"/>
        <v>0</v>
      </c>
      <c r="Q113" s="20">
        <f>SUMIFS(Entradas!D:D,Entradas!B:B,B113,Entradas!C:C,C113) - SUMIFS(Vendas!E:E,Vendas!C:C,B113,Vendas!D:D,C113)</f>
        <v>0</v>
      </c>
    </row>
    <row r="114">
      <c r="A114" s="19" t="str">
        <f t="shared" si="1"/>
        <v>P114</v>
      </c>
      <c r="D114" s="19"/>
      <c r="E114" s="21"/>
      <c r="F114" s="22"/>
      <c r="G114" s="22"/>
      <c r="H114" s="22" t="str">
        <f t="shared" si="2"/>
        <v/>
      </c>
      <c r="I114" s="22">
        <f t="shared" si="3"/>
        <v>0</v>
      </c>
      <c r="J114" s="23" t="str">
        <f t="shared" si="4"/>
        <v/>
      </c>
      <c r="K114" s="22">
        <f t="shared" si="5"/>
        <v>0</v>
      </c>
      <c r="L114" s="22">
        <f t="shared" si="6"/>
        <v>0</v>
      </c>
      <c r="M114" s="23">
        <f t="shared" si="7"/>
        <v>0.0612</v>
      </c>
      <c r="N114" s="22">
        <f t="shared" si="8"/>
        <v>0</v>
      </c>
      <c r="O114" s="23">
        <f t="shared" si="9"/>
        <v>0.124</v>
      </c>
      <c r="P114" s="22">
        <f t="shared" si="10"/>
        <v>0</v>
      </c>
      <c r="Q114" s="20">
        <f>SUMIFS(Entradas!D:D,Entradas!B:B,B114,Entradas!C:C,C114) - SUMIFS(Vendas!E:E,Vendas!C:C,B114,Vendas!D:D,C114)</f>
        <v>0</v>
      </c>
    </row>
    <row r="115">
      <c r="A115" s="19" t="str">
        <f t="shared" si="1"/>
        <v>P115</v>
      </c>
      <c r="D115" s="19"/>
      <c r="E115" s="21"/>
      <c r="F115" s="22"/>
      <c r="G115" s="22"/>
      <c r="H115" s="22" t="str">
        <f t="shared" si="2"/>
        <v/>
      </c>
      <c r="I115" s="22">
        <f t="shared" si="3"/>
        <v>0</v>
      </c>
      <c r="J115" s="23" t="str">
        <f t="shared" si="4"/>
        <v/>
      </c>
      <c r="K115" s="22">
        <f t="shared" si="5"/>
        <v>0</v>
      </c>
      <c r="L115" s="22">
        <f t="shared" si="6"/>
        <v>0</v>
      </c>
      <c r="M115" s="23">
        <f t="shared" si="7"/>
        <v>0.0612</v>
      </c>
      <c r="N115" s="22">
        <f t="shared" si="8"/>
        <v>0</v>
      </c>
      <c r="O115" s="23">
        <f t="shared" si="9"/>
        <v>0.124</v>
      </c>
      <c r="P115" s="22">
        <f t="shared" si="10"/>
        <v>0</v>
      </c>
      <c r="Q115" s="20">
        <f>SUMIFS(Entradas!D:D,Entradas!B:B,B115,Entradas!C:C,C115) - SUMIFS(Vendas!E:E,Vendas!C:C,B115,Vendas!D:D,C115)</f>
        <v>0</v>
      </c>
    </row>
    <row r="116">
      <c r="A116" s="19" t="str">
        <f t="shared" si="1"/>
        <v>P116</v>
      </c>
      <c r="D116" s="19"/>
      <c r="E116" s="21"/>
      <c r="F116" s="22"/>
      <c r="G116" s="22"/>
      <c r="H116" s="22" t="str">
        <f t="shared" si="2"/>
        <v/>
      </c>
      <c r="I116" s="22">
        <f t="shared" si="3"/>
        <v>0</v>
      </c>
      <c r="J116" s="23" t="str">
        <f t="shared" si="4"/>
        <v/>
      </c>
      <c r="K116" s="22">
        <f t="shared" si="5"/>
        <v>0</v>
      </c>
      <c r="L116" s="22">
        <f t="shared" si="6"/>
        <v>0</v>
      </c>
      <c r="M116" s="23">
        <f t="shared" si="7"/>
        <v>0.0612</v>
      </c>
      <c r="N116" s="22">
        <f t="shared" si="8"/>
        <v>0</v>
      </c>
      <c r="O116" s="23">
        <f t="shared" si="9"/>
        <v>0.124</v>
      </c>
      <c r="P116" s="22">
        <f t="shared" si="10"/>
        <v>0</v>
      </c>
      <c r="Q116" s="20">
        <f>SUMIFS(Entradas!D:D,Entradas!B:B,B116,Entradas!C:C,C116) - SUMIFS(Vendas!E:E,Vendas!C:C,B116,Vendas!D:D,C116)</f>
        <v>0</v>
      </c>
    </row>
    <row r="117">
      <c r="A117" s="19" t="str">
        <f t="shared" si="1"/>
        <v>P117</v>
      </c>
      <c r="D117" s="19"/>
      <c r="E117" s="21"/>
      <c r="F117" s="22"/>
      <c r="G117" s="22"/>
      <c r="H117" s="22" t="str">
        <f t="shared" si="2"/>
        <v/>
      </c>
      <c r="I117" s="22">
        <f t="shared" si="3"/>
        <v>0</v>
      </c>
      <c r="J117" s="23" t="str">
        <f t="shared" si="4"/>
        <v/>
      </c>
      <c r="K117" s="22">
        <f t="shared" si="5"/>
        <v>0</v>
      </c>
      <c r="L117" s="22">
        <f t="shared" si="6"/>
        <v>0</v>
      </c>
      <c r="M117" s="23">
        <f t="shared" si="7"/>
        <v>0.0612</v>
      </c>
      <c r="N117" s="22">
        <f t="shared" si="8"/>
        <v>0</v>
      </c>
      <c r="O117" s="23">
        <f t="shared" si="9"/>
        <v>0.124</v>
      </c>
      <c r="P117" s="22">
        <f t="shared" si="10"/>
        <v>0</v>
      </c>
      <c r="Q117" s="20">
        <f>SUMIFS(Entradas!D:D,Entradas!B:B,B117,Entradas!C:C,C117) - SUMIFS(Vendas!E:E,Vendas!C:C,B117,Vendas!D:D,C117)</f>
        <v>0</v>
      </c>
    </row>
    <row r="118">
      <c r="A118" s="19" t="str">
        <f t="shared" si="1"/>
        <v>P118</v>
      </c>
      <c r="D118" s="19"/>
      <c r="E118" s="21"/>
      <c r="F118" s="22"/>
      <c r="G118" s="22"/>
      <c r="H118" s="22" t="str">
        <f t="shared" si="2"/>
        <v/>
      </c>
      <c r="I118" s="22">
        <f t="shared" si="3"/>
        <v>0</v>
      </c>
      <c r="J118" s="23" t="str">
        <f t="shared" si="4"/>
        <v/>
      </c>
      <c r="K118" s="22">
        <f t="shared" si="5"/>
        <v>0</v>
      </c>
      <c r="L118" s="22">
        <f t="shared" si="6"/>
        <v>0</v>
      </c>
      <c r="M118" s="23">
        <f t="shared" si="7"/>
        <v>0.0612</v>
      </c>
      <c r="N118" s="22">
        <f t="shared" si="8"/>
        <v>0</v>
      </c>
      <c r="O118" s="23">
        <f t="shared" si="9"/>
        <v>0.124</v>
      </c>
      <c r="P118" s="22">
        <f t="shared" si="10"/>
        <v>0</v>
      </c>
      <c r="Q118" s="20">
        <f>SUMIFS(Entradas!D:D,Entradas!B:B,B118,Entradas!C:C,C118) - SUMIFS(Vendas!E:E,Vendas!C:C,B118,Vendas!D:D,C118)</f>
        <v>0</v>
      </c>
    </row>
    <row r="119">
      <c r="A119" s="19" t="str">
        <f t="shared" si="1"/>
        <v>P119</v>
      </c>
      <c r="D119" s="19"/>
      <c r="E119" s="21"/>
      <c r="F119" s="22"/>
      <c r="G119" s="22"/>
      <c r="H119" s="22" t="str">
        <f t="shared" si="2"/>
        <v/>
      </c>
      <c r="I119" s="22">
        <f t="shared" si="3"/>
        <v>0</v>
      </c>
      <c r="J119" s="23" t="str">
        <f t="shared" si="4"/>
        <v/>
      </c>
      <c r="K119" s="22">
        <f t="shared" si="5"/>
        <v>0</v>
      </c>
      <c r="L119" s="22">
        <f t="shared" si="6"/>
        <v>0</v>
      </c>
      <c r="M119" s="23">
        <f t="shared" si="7"/>
        <v>0.0612</v>
      </c>
      <c r="N119" s="22">
        <f t="shared" si="8"/>
        <v>0</v>
      </c>
      <c r="O119" s="23">
        <f t="shared" si="9"/>
        <v>0.124</v>
      </c>
      <c r="P119" s="22">
        <f t="shared" si="10"/>
        <v>0</v>
      </c>
      <c r="Q119" s="20">
        <f>SUMIFS(Entradas!D:D,Entradas!B:B,B119,Entradas!C:C,C119) - SUMIFS(Vendas!E:E,Vendas!C:C,B119,Vendas!D:D,C119)</f>
        <v>0</v>
      </c>
    </row>
    <row r="120">
      <c r="A120" s="19" t="str">
        <f t="shared" si="1"/>
        <v>P120</v>
      </c>
      <c r="D120" s="19"/>
      <c r="E120" s="21"/>
      <c r="F120" s="22"/>
      <c r="G120" s="22"/>
      <c r="H120" s="22" t="str">
        <f t="shared" si="2"/>
        <v/>
      </c>
      <c r="I120" s="22">
        <f t="shared" si="3"/>
        <v>0</v>
      </c>
      <c r="J120" s="23" t="str">
        <f t="shared" si="4"/>
        <v/>
      </c>
      <c r="K120" s="22">
        <f t="shared" si="5"/>
        <v>0</v>
      </c>
      <c r="L120" s="22">
        <f t="shared" si="6"/>
        <v>0</v>
      </c>
      <c r="M120" s="23">
        <f t="shared" si="7"/>
        <v>0.0612</v>
      </c>
      <c r="N120" s="22">
        <f t="shared" si="8"/>
        <v>0</v>
      </c>
      <c r="O120" s="23">
        <f t="shared" si="9"/>
        <v>0.124</v>
      </c>
      <c r="P120" s="22">
        <f t="shared" si="10"/>
        <v>0</v>
      </c>
      <c r="Q120" s="20">
        <f>SUMIFS(Entradas!D:D,Entradas!B:B,B120,Entradas!C:C,C120) - SUMIFS(Vendas!E:E,Vendas!C:C,B120,Vendas!D:D,C120)</f>
        <v>0</v>
      </c>
    </row>
    <row r="121">
      <c r="A121" s="19" t="str">
        <f t="shared" si="1"/>
        <v>P121</v>
      </c>
      <c r="D121" s="19"/>
      <c r="E121" s="21"/>
      <c r="F121" s="22"/>
      <c r="G121" s="22"/>
      <c r="H121" s="22" t="str">
        <f t="shared" si="2"/>
        <v/>
      </c>
      <c r="I121" s="22">
        <f t="shared" si="3"/>
        <v>0</v>
      </c>
      <c r="J121" s="23" t="str">
        <f t="shared" si="4"/>
        <v/>
      </c>
      <c r="K121" s="22">
        <f t="shared" si="5"/>
        <v>0</v>
      </c>
      <c r="L121" s="22">
        <f t="shared" si="6"/>
        <v>0</v>
      </c>
      <c r="M121" s="23">
        <f t="shared" si="7"/>
        <v>0.0612</v>
      </c>
      <c r="N121" s="22">
        <f t="shared" si="8"/>
        <v>0</v>
      </c>
      <c r="O121" s="23">
        <f t="shared" si="9"/>
        <v>0.124</v>
      </c>
      <c r="P121" s="22">
        <f t="shared" si="10"/>
        <v>0</v>
      </c>
      <c r="Q121" s="20">
        <f>SUMIFS(Entradas!D:D,Entradas!B:B,B121,Entradas!C:C,C121) - SUMIFS(Vendas!E:E,Vendas!C:C,B121,Vendas!D:D,C121)</f>
        <v>0</v>
      </c>
    </row>
    <row r="122">
      <c r="A122" s="19" t="str">
        <f t="shared" si="1"/>
        <v>P122</v>
      </c>
      <c r="D122" s="19"/>
      <c r="E122" s="21"/>
      <c r="F122" s="22"/>
      <c r="G122" s="22"/>
      <c r="H122" s="22" t="str">
        <f t="shared" si="2"/>
        <v/>
      </c>
      <c r="I122" s="22">
        <f t="shared" si="3"/>
        <v>0</v>
      </c>
      <c r="J122" s="23" t="str">
        <f t="shared" si="4"/>
        <v/>
      </c>
      <c r="K122" s="22">
        <f t="shared" si="5"/>
        <v>0</v>
      </c>
      <c r="L122" s="22">
        <f t="shared" si="6"/>
        <v>0</v>
      </c>
      <c r="M122" s="23">
        <f t="shared" si="7"/>
        <v>0.0612</v>
      </c>
      <c r="N122" s="22">
        <f t="shared" si="8"/>
        <v>0</v>
      </c>
      <c r="O122" s="23">
        <f t="shared" si="9"/>
        <v>0.124</v>
      </c>
      <c r="P122" s="22">
        <f t="shared" si="10"/>
        <v>0</v>
      </c>
      <c r="Q122" s="20">
        <f>SUMIFS(Entradas!D:D,Entradas!B:B,B122,Entradas!C:C,C122) - SUMIFS(Vendas!E:E,Vendas!C:C,B122,Vendas!D:D,C122)</f>
        <v>0</v>
      </c>
    </row>
    <row r="123">
      <c r="A123" s="19" t="str">
        <f t="shared" si="1"/>
        <v>P123</v>
      </c>
      <c r="D123" s="19"/>
      <c r="E123" s="21"/>
      <c r="F123" s="22"/>
      <c r="G123" s="22"/>
      <c r="H123" s="22" t="str">
        <f t="shared" si="2"/>
        <v/>
      </c>
      <c r="I123" s="22">
        <f t="shared" si="3"/>
        <v>0</v>
      </c>
      <c r="J123" s="23" t="str">
        <f t="shared" si="4"/>
        <v/>
      </c>
      <c r="K123" s="22">
        <f t="shared" si="5"/>
        <v>0</v>
      </c>
      <c r="L123" s="22">
        <f t="shared" si="6"/>
        <v>0</v>
      </c>
      <c r="M123" s="23">
        <f t="shared" si="7"/>
        <v>0.0612</v>
      </c>
      <c r="N123" s="22">
        <f t="shared" si="8"/>
        <v>0</v>
      </c>
      <c r="O123" s="23">
        <f t="shared" si="9"/>
        <v>0.124</v>
      </c>
      <c r="P123" s="22">
        <f t="shared" si="10"/>
        <v>0</v>
      </c>
      <c r="Q123" s="20">
        <f>SUMIFS(Entradas!D:D,Entradas!B:B,B123,Entradas!C:C,C123) - SUMIFS(Vendas!E:E,Vendas!C:C,B123,Vendas!D:D,C123)</f>
        <v>0</v>
      </c>
    </row>
    <row r="124">
      <c r="A124" s="19" t="str">
        <f t="shared" si="1"/>
        <v>P124</v>
      </c>
      <c r="D124" s="19"/>
      <c r="E124" s="21"/>
      <c r="F124" s="22"/>
      <c r="G124" s="22"/>
      <c r="H124" s="22" t="str">
        <f t="shared" si="2"/>
        <v/>
      </c>
      <c r="I124" s="22">
        <f t="shared" si="3"/>
        <v>0</v>
      </c>
      <c r="J124" s="23" t="str">
        <f t="shared" si="4"/>
        <v/>
      </c>
      <c r="K124" s="22">
        <f t="shared" si="5"/>
        <v>0</v>
      </c>
      <c r="L124" s="22">
        <f t="shared" si="6"/>
        <v>0</v>
      </c>
      <c r="M124" s="23">
        <f t="shared" si="7"/>
        <v>0.0612</v>
      </c>
      <c r="N124" s="22">
        <f t="shared" si="8"/>
        <v>0</v>
      </c>
      <c r="O124" s="23">
        <f t="shared" si="9"/>
        <v>0.124</v>
      </c>
      <c r="P124" s="22">
        <f t="shared" si="10"/>
        <v>0</v>
      </c>
      <c r="Q124" s="20">
        <f>SUMIFS(Entradas!D:D,Entradas!B:B,B124,Entradas!C:C,C124) - SUMIFS(Vendas!E:E,Vendas!C:C,B124,Vendas!D:D,C124)</f>
        <v>0</v>
      </c>
    </row>
    <row r="125">
      <c r="A125" s="19" t="str">
        <f t="shared" si="1"/>
        <v>P125</v>
      </c>
      <c r="D125" s="19"/>
      <c r="E125" s="21"/>
      <c r="F125" s="22"/>
      <c r="G125" s="22"/>
      <c r="H125" s="22" t="str">
        <f t="shared" si="2"/>
        <v/>
      </c>
      <c r="I125" s="22">
        <f t="shared" si="3"/>
        <v>0</v>
      </c>
      <c r="J125" s="23" t="str">
        <f t="shared" si="4"/>
        <v/>
      </c>
      <c r="K125" s="22">
        <f t="shared" si="5"/>
        <v>0</v>
      </c>
      <c r="L125" s="22">
        <f t="shared" si="6"/>
        <v>0</v>
      </c>
      <c r="M125" s="23">
        <f t="shared" si="7"/>
        <v>0.0612</v>
      </c>
      <c r="N125" s="22">
        <f t="shared" si="8"/>
        <v>0</v>
      </c>
      <c r="O125" s="23">
        <f t="shared" si="9"/>
        <v>0.124</v>
      </c>
      <c r="P125" s="22">
        <f t="shared" si="10"/>
        <v>0</v>
      </c>
      <c r="Q125" s="20">
        <f>SUMIFS(Entradas!D:D,Entradas!B:B,B125,Entradas!C:C,C125) - SUMIFS(Vendas!E:E,Vendas!C:C,B125,Vendas!D:D,C125)</f>
        <v>0</v>
      </c>
    </row>
    <row r="126">
      <c r="A126" s="19" t="str">
        <f t="shared" si="1"/>
        <v>P126</v>
      </c>
      <c r="D126" s="19"/>
      <c r="E126" s="21"/>
      <c r="F126" s="22"/>
      <c r="G126" s="22"/>
      <c r="H126" s="22" t="str">
        <f t="shared" si="2"/>
        <v/>
      </c>
      <c r="I126" s="22">
        <f t="shared" si="3"/>
        <v>0</v>
      </c>
      <c r="J126" s="23" t="str">
        <f t="shared" si="4"/>
        <v/>
      </c>
      <c r="K126" s="22">
        <f t="shared" si="5"/>
        <v>0</v>
      </c>
      <c r="L126" s="22">
        <f t="shared" si="6"/>
        <v>0</v>
      </c>
      <c r="M126" s="23">
        <f t="shared" si="7"/>
        <v>0.0612</v>
      </c>
      <c r="N126" s="22">
        <f t="shared" si="8"/>
        <v>0</v>
      </c>
      <c r="O126" s="23">
        <f t="shared" si="9"/>
        <v>0.124</v>
      </c>
      <c r="P126" s="22">
        <f t="shared" si="10"/>
        <v>0</v>
      </c>
      <c r="Q126" s="20">
        <f>SUMIFS(Entradas!D:D,Entradas!B:B,B126,Entradas!C:C,C126) - SUMIFS(Vendas!E:E,Vendas!C:C,B126,Vendas!D:D,C126)</f>
        <v>0</v>
      </c>
    </row>
    <row r="127">
      <c r="A127" s="19" t="str">
        <f t="shared" si="1"/>
        <v>P127</v>
      </c>
      <c r="D127" s="19"/>
      <c r="E127" s="21"/>
      <c r="F127" s="22"/>
      <c r="G127" s="22"/>
      <c r="H127" s="22" t="str">
        <f t="shared" si="2"/>
        <v/>
      </c>
      <c r="I127" s="22">
        <f t="shared" si="3"/>
        <v>0</v>
      </c>
      <c r="J127" s="23" t="str">
        <f t="shared" si="4"/>
        <v/>
      </c>
      <c r="K127" s="22">
        <f t="shared" si="5"/>
        <v>0</v>
      </c>
      <c r="L127" s="22">
        <f t="shared" si="6"/>
        <v>0</v>
      </c>
      <c r="M127" s="23">
        <f t="shared" si="7"/>
        <v>0.0612</v>
      </c>
      <c r="N127" s="22">
        <f t="shared" si="8"/>
        <v>0</v>
      </c>
      <c r="O127" s="23">
        <f t="shared" si="9"/>
        <v>0.124</v>
      </c>
      <c r="P127" s="22">
        <f t="shared" si="10"/>
        <v>0</v>
      </c>
      <c r="Q127" s="20">
        <f>SUMIFS(Entradas!D:D,Entradas!B:B,B127,Entradas!C:C,C127) - SUMIFS(Vendas!E:E,Vendas!C:C,B127,Vendas!D:D,C127)</f>
        <v>0</v>
      </c>
    </row>
    <row r="128">
      <c r="A128" s="19" t="str">
        <f t="shared" si="1"/>
        <v>P128</v>
      </c>
      <c r="D128" s="19"/>
      <c r="E128" s="21"/>
      <c r="F128" s="22"/>
      <c r="G128" s="22"/>
      <c r="H128" s="22" t="str">
        <f t="shared" si="2"/>
        <v/>
      </c>
      <c r="I128" s="22">
        <f t="shared" si="3"/>
        <v>0</v>
      </c>
      <c r="J128" s="23" t="str">
        <f t="shared" si="4"/>
        <v/>
      </c>
      <c r="K128" s="22">
        <f t="shared" si="5"/>
        <v>0</v>
      </c>
      <c r="L128" s="22">
        <f t="shared" si="6"/>
        <v>0</v>
      </c>
      <c r="M128" s="23">
        <f t="shared" si="7"/>
        <v>0.0612</v>
      </c>
      <c r="N128" s="22">
        <f t="shared" si="8"/>
        <v>0</v>
      </c>
      <c r="O128" s="23">
        <f t="shared" si="9"/>
        <v>0.124</v>
      </c>
      <c r="P128" s="22">
        <f t="shared" si="10"/>
        <v>0</v>
      </c>
      <c r="Q128" s="20">
        <f>SUMIFS(Entradas!D:D,Entradas!B:B,B128,Entradas!C:C,C128) - SUMIFS(Vendas!E:E,Vendas!C:C,B128,Vendas!D:D,C128)</f>
        <v>0</v>
      </c>
    </row>
    <row r="129">
      <c r="A129" s="19" t="str">
        <f t="shared" si="1"/>
        <v>P129</v>
      </c>
      <c r="D129" s="19"/>
      <c r="E129" s="21"/>
      <c r="F129" s="22"/>
      <c r="G129" s="22"/>
      <c r="H129" s="22" t="str">
        <f t="shared" si="2"/>
        <v/>
      </c>
      <c r="I129" s="22">
        <f t="shared" si="3"/>
        <v>0</v>
      </c>
      <c r="J129" s="23" t="str">
        <f t="shared" si="4"/>
        <v/>
      </c>
      <c r="K129" s="22">
        <f t="shared" si="5"/>
        <v>0</v>
      </c>
      <c r="L129" s="22">
        <f t="shared" si="6"/>
        <v>0</v>
      </c>
      <c r="M129" s="23">
        <f t="shared" si="7"/>
        <v>0.0612</v>
      </c>
      <c r="N129" s="22">
        <f t="shared" si="8"/>
        <v>0</v>
      </c>
      <c r="O129" s="23">
        <f t="shared" si="9"/>
        <v>0.124</v>
      </c>
      <c r="P129" s="22">
        <f t="shared" si="10"/>
        <v>0</v>
      </c>
      <c r="Q129" s="20">
        <f>SUMIFS(Entradas!D:D,Entradas!B:B,B129,Entradas!C:C,C129) - SUMIFS(Vendas!E:E,Vendas!C:C,B129,Vendas!D:D,C129)</f>
        <v>0</v>
      </c>
    </row>
    <row r="130">
      <c r="A130" s="19" t="str">
        <f t="shared" si="1"/>
        <v>P130</v>
      </c>
      <c r="D130" s="19"/>
      <c r="E130" s="21"/>
      <c r="F130" s="22"/>
      <c r="G130" s="22"/>
      <c r="H130" s="22" t="str">
        <f t="shared" si="2"/>
        <v/>
      </c>
      <c r="I130" s="22">
        <f t="shared" si="3"/>
        <v>0</v>
      </c>
      <c r="J130" s="23" t="str">
        <f t="shared" si="4"/>
        <v/>
      </c>
      <c r="K130" s="22">
        <f t="shared" si="5"/>
        <v>0</v>
      </c>
      <c r="L130" s="22">
        <f t="shared" si="6"/>
        <v>0</v>
      </c>
      <c r="M130" s="23">
        <f t="shared" si="7"/>
        <v>0.0612</v>
      </c>
      <c r="N130" s="22">
        <f t="shared" si="8"/>
        <v>0</v>
      </c>
      <c r="O130" s="23">
        <f t="shared" si="9"/>
        <v>0.124</v>
      </c>
      <c r="P130" s="22">
        <f t="shared" si="10"/>
        <v>0</v>
      </c>
      <c r="Q130" s="20">
        <f>SUMIFS(Entradas!D:D,Entradas!B:B,B130,Entradas!C:C,C130) - SUMIFS(Vendas!E:E,Vendas!C:C,B130,Vendas!D:D,C130)</f>
        <v>0</v>
      </c>
    </row>
    <row r="131">
      <c r="A131" s="19" t="str">
        <f t="shared" si="1"/>
        <v>P131</v>
      </c>
      <c r="D131" s="19"/>
      <c r="E131" s="21"/>
      <c r="F131" s="22"/>
      <c r="G131" s="22"/>
      <c r="H131" s="22" t="str">
        <f t="shared" si="2"/>
        <v/>
      </c>
      <c r="I131" s="22">
        <f t="shared" si="3"/>
        <v>0</v>
      </c>
      <c r="J131" s="23" t="str">
        <f t="shared" si="4"/>
        <v/>
      </c>
      <c r="K131" s="22">
        <f t="shared" si="5"/>
        <v>0</v>
      </c>
      <c r="L131" s="22">
        <f t="shared" si="6"/>
        <v>0</v>
      </c>
      <c r="M131" s="23">
        <f t="shared" si="7"/>
        <v>0.0612</v>
      </c>
      <c r="N131" s="22">
        <f t="shared" si="8"/>
        <v>0</v>
      </c>
      <c r="O131" s="23">
        <f t="shared" si="9"/>
        <v>0.124</v>
      </c>
      <c r="P131" s="22">
        <f t="shared" si="10"/>
        <v>0</v>
      </c>
      <c r="Q131" s="20">
        <f>SUMIFS(Entradas!D:D,Entradas!B:B,B131,Entradas!C:C,C131) - SUMIFS(Vendas!E:E,Vendas!C:C,B131,Vendas!D:D,C131)</f>
        <v>0</v>
      </c>
    </row>
    <row r="132">
      <c r="A132" s="19" t="str">
        <f t="shared" si="1"/>
        <v>P132</v>
      </c>
      <c r="D132" s="19"/>
      <c r="E132" s="21"/>
      <c r="F132" s="22"/>
      <c r="G132" s="22"/>
      <c r="H132" s="22" t="str">
        <f t="shared" si="2"/>
        <v/>
      </c>
      <c r="I132" s="22">
        <f t="shared" si="3"/>
        <v>0</v>
      </c>
      <c r="J132" s="23" t="str">
        <f t="shared" si="4"/>
        <v/>
      </c>
      <c r="K132" s="22">
        <f t="shared" si="5"/>
        <v>0</v>
      </c>
      <c r="L132" s="22">
        <f t="shared" si="6"/>
        <v>0</v>
      </c>
      <c r="M132" s="23">
        <f t="shared" si="7"/>
        <v>0.0612</v>
      </c>
      <c r="N132" s="22">
        <f t="shared" si="8"/>
        <v>0</v>
      </c>
      <c r="O132" s="23">
        <f t="shared" si="9"/>
        <v>0.124</v>
      </c>
      <c r="P132" s="22">
        <f t="shared" si="10"/>
        <v>0</v>
      </c>
      <c r="Q132" s="20">
        <f>SUMIFS(Entradas!D:D,Entradas!B:B,B132,Entradas!C:C,C132) - SUMIFS(Vendas!E:E,Vendas!C:C,B132,Vendas!D:D,C132)</f>
        <v>0</v>
      </c>
    </row>
    <row r="133">
      <c r="A133" s="19" t="str">
        <f t="shared" si="1"/>
        <v>P133</v>
      </c>
      <c r="D133" s="19"/>
      <c r="E133" s="21"/>
      <c r="F133" s="22"/>
      <c r="G133" s="22"/>
      <c r="H133" s="22" t="str">
        <f t="shared" si="2"/>
        <v/>
      </c>
      <c r="I133" s="22">
        <f t="shared" si="3"/>
        <v>0</v>
      </c>
      <c r="J133" s="23" t="str">
        <f t="shared" si="4"/>
        <v/>
      </c>
      <c r="K133" s="22">
        <f t="shared" si="5"/>
        <v>0</v>
      </c>
      <c r="L133" s="22">
        <f t="shared" si="6"/>
        <v>0</v>
      </c>
      <c r="M133" s="23">
        <f t="shared" si="7"/>
        <v>0.0612</v>
      </c>
      <c r="N133" s="22">
        <f t="shared" si="8"/>
        <v>0</v>
      </c>
      <c r="O133" s="23">
        <f t="shared" si="9"/>
        <v>0.124</v>
      </c>
      <c r="P133" s="22">
        <f t="shared" si="10"/>
        <v>0</v>
      </c>
      <c r="Q133" s="20">
        <f>SUMIFS(Entradas!D:D,Entradas!B:B,B133,Entradas!C:C,C133) - SUMIFS(Vendas!E:E,Vendas!C:C,B133,Vendas!D:D,C133)</f>
        <v>0</v>
      </c>
    </row>
    <row r="134">
      <c r="A134" s="19" t="str">
        <f t="shared" si="1"/>
        <v>P134</v>
      </c>
      <c r="D134" s="19"/>
      <c r="E134" s="21"/>
      <c r="F134" s="22"/>
      <c r="G134" s="22"/>
      <c r="H134" s="22" t="str">
        <f t="shared" si="2"/>
        <v/>
      </c>
      <c r="I134" s="22">
        <f t="shared" si="3"/>
        <v>0</v>
      </c>
      <c r="J134" s="23" t="str">
        <f t="shared" si="4"/>
        <v/>
      </c>
      <c r="K134" s="22">
        <f t="shared" si="5"/>
        <v>0</v>
      </c>
      <c r="L134" s="22">
        <f t="shared" si="6"/>
        <v>0</v>
      </c>
      <c r="M134" s="23">
        <f t="shared" si="7"/>
        <v>0.0612</v>
      </c>
      <c r="N134" s="22">
        <f t="shared" si="8"/>
        <v>0</v>
      </c>
      <c r="O134" s="23">
        <f t="shared" si="9"/>
        <v>0.124</v>
      </c>
      <c r="P134" s="22">
        <f t="shared" si="10"/>
        <v>0</v>
      </c>
      <c r="Q134" s="20">
        <f>SUMIFS(Entradas!D:D,Entradas!B:B,B134,Entradas!C:C,C134) - SUMIFS(Vendas!E:E,Vendas!C:C,B134,Vendas!D:D,C134)</f>
        <v>0</v>
      </c>
    </row>
    <row r="135">
      <c r="A135" s="19" t="str">
        <f t="shared" si="1"/>
        <v>P135</v>
      </c>
      <c r="D135" s="19"/>
      <c r="E135" s="21"/>
      <c r="F135" s="22"/>
      <c r="G135" s="22"/>
      <c r="H135" s="22" t="str">
        <f t="shared" si="2"/>
        <v/>
      </c>
      <c r="I135" s="22">
        <f t="shared" si="3"/>
        <v>0</v>
      </c>
      <c r="J135" s="23" t="str">
        <f t="shared" si="4"/>
        <v/>
      </c>
      <c r="K135" s="22">
        <f t="shared" si="5"/>
        <v>0</v>
      </c>
      <c r="L135" s="22">
        <f t="shared" si="6"/>
        <v>0</v>
      </c>
      <c r="M135" s="23">
        <f t="shared" si="7"/>
        <v>0.0612</v>
      </c>
      <c r="N135" s="22">
        <f t="shared" si="8"/>
        <v>0</v>
      </c>
      <c r="O135" s="23">
        <f t="shared" si="9"/>
        <v>0.124</v>
      </c>
      <c r="P135" s="22">
        <f t="shared" si="10"/>
        <v>0</v>
      </c>
      <c r="Q135" s="20">
        <f>SUMIFS(Entradas!D:D,Entradas!B:B,B135,Entradas!C:C,C135) - SUMIFS(Vendas!E:E,Vendas!C:C,B135,Vendas!D:D,C135)</f>
        <v>0</v>
      </c>
    </row>
    <row r="136">
      <c r="A136" s="19" t="str">
        <f t="shared" si="1"/>
        <v>P136</v>
      </c>
      <c r="D136" s="19"/>
      <c r="E136" s="21"/>
      <c r="F136" s="22"/>
      <c r="G136" s="22"/>
      <c r="H136" s="22" t="str">
        <f t="shared" si="2"/>
        <v/>
      </c>
      <c r="I136" s="22">
        <f t="shared" si="3"/>
        <v>0</v>
      </c>
      <c r="J136" s="23" t="str">
        <f t="shared" si="4"/>
        <v/>
      </c>
      <c r="K136" s="22">
        <f t="shared" si="5"/>
        <v>0</v>
      </c>
      <c r="L136" s="22">
        <f t="shared" si="6"/>
        <v>0</v>
      </c>
      <c r="M136" s="23">
        <f t="shared" si="7"/>
        <v>0.0612</v>
      </c>
      <c r="N136" s="22">
        <f t="shared" si="8"/>
        <v>0</v>
      </c>
      <c r="O136" s="23">
        <f t="shared" si="9"/>
        <v>0.124</v>
      </c>
      <c r="P136" s="22">
        <f t="shared" si="10"/>
        <v>0</v>
      </c>
      <c r="Q136" s="20">
        <f>SUMIFS(Entradas!D:D,Entradas!B:B,B136,Entradas!C:C,C136) - SUMIFS(Vendas!E:E,Vendas!C:C,B136,Vendas!D:D,C136)</f>
        <v>0</v>
      </c>
    </row>
    <row r="137">
      <c r="A137" s="19" t="str">
        <f t="shared" si="1"/>
        <v>P137</v>
      </c>
      <c r="D137" s="19"/>
      <c r="E137" s="21"/>
      <c r="F137" s="22"/>
      <c r="G137" s="22"/>
      <c r="H137" s="22" t="str">
        <f t="shared" si="2"/>
        <v/>
      </c>
      <c r="I137" s="22">
        <f t="shared" si="3"/>
        <v>0</v>
      </c>
      <c r="J137" s="23" t="str">
        <f t="shared" si="4"/>
        <v/>
      </c>
      <c r="K137" s="22">
        <f t="shared" si="5"/>
        <v>0</v>
      </c>
      <c r="L137" s="22">
        <f t="shared" si="6"/>
        <v>0</v>
      </c>
      <c r="M137" s="23">
        <f t="shared" si="7"/>
        <v>0.0612</v>
      </c>
      <c r="N137" s="22">
        <f t="shared" si="8"/>
        <v>0</v>
      </c>
      <c r="O137" s="23">
        <f t="shared" si="9"/>
        <v>0.124</v>
      </c>
      <c r="P137" s="22">
        <f t="shared" si="10"/>
        <v>0</v>
      </c>
      <c r="Q137" s="20">
        <f>SUMIFS(Entradas!D:D,Entradas!B:B,B137,Entradas!C:C,C137) - SUMIFS(Vendas!E:E,Vendas!C:C,B137,Vendas!D:D,C137)</f>
        <v>0</v>
      </c>
    </row>
    <row r="138">
      <c r="A138" s="19" t="str">
        <f t="shared" si="1"/>
        <v>P138</v>
      </c>
      <c r="D138" s="19"/>
      <c r="E138" s="21"/>
      <c r="F138" s="22"/>
      <c r="G138" s="22"/>
      <c r="H138" s="22" t="str">
        <f t="shared" si="2"/>
        <v/>
      </c>
      <c r="I138" s="22">
        <f t="shared" si="3"/>
        <v>0</v>
      </c>
      <c r="J138" s="23" t="str">
        <f t="shared" si="4"/>
        <v/>
      </c>
      <c r="K138" s="22">
        <f t="shared" si="5"/>
        <v>0</v>
      </c>
      <c r="L138" s="22">
        <f t="shared" si="6"/>
        <v>0</v>
      </c>
      <c r="M138" s="23">
        <f t="shared" si="7"/>
        <v>0.0612</v>
      </c>
      <c r="N138" s="22">
        <f t="shared" si="8"/>
        <v>0</v>
      </c>
      <c r="O138" s="23">
        <f t="shared" si="9"/>
        <v>0.124</v>
      </c>
      <c r="P138" s="22">
        <f t="shared" si="10"/>
        <v>0</v>
      </c>
      <c r="Q138" s="20">
        <f>SUMIFS(Entradas!D:D,Entradas!B:B,B138,Entradas!C:C,C138) - SUMIFS(Vendas!E:E,Vendas!C:C,B138,Vendas!D:D,C138)</f>
        <v>0</v>
      </c>
    </row>
    <row r="139">
      <c r="A139" s="19" t="str">
        <f t="shared" si="1"/>
        <v>P139</v>
      </c>
      <c r="D139" s="19"/>
      <c r="E139" s="21"/>
      <c r="F139" s="22"/>
      <c r="G139" s="22"/>
      <c r="H139" s="22" t="str">
        <f t="shared" si="2"/>
        <v/>
      </c>
      <c r="I139" s="22">
        <f t="shared" si="3"/>
        <v>0</v>
      </c>
      <c r="J139" s="23" t="str">
        <f t="shared" si="4"/>
        <v/>
      </c>
      <c r="K139" s="22">
        <f t="shared" si="5"/>
        <v>0</v>
      </c>
      <c r="L139" s="22">
        <f t="shared" si="6"/>
        <v>0</v>
      </c>
      <c r="M139" s="23">
        <f t="shared" si="7"/>
        <v>0.0612</v>
      </c>
      <c r="N139" s="22">
        <f t="shared" si="8"/>
        <v>0</v>
      </c>
      <c r="O139" s="23">
        <f t="shared" si="9"/>
        <v>0.124</v>
      </c>
      <c r="P139" s="22">
        <f t="shared" si="10"/>
        <v>0</v>
      </c>
      <c r="Q139" s="20">
        <f>SUMIFS(Entradas!D:D,Entradas!B:B,B139,Entradas!C:C,C139) - SUMIFS(Vendas!E:E,Vendas!C:C,B139,Vendas!D:D,C139)</f>
        <v>0</v>
      </c>
    </row>
    <row r="140">
      <c r="A140" s="19" t="str">
        <f t="shared" si="1"/>
        <v>P140</v>
      </c>
      <c r="D140" s="19"/>
      <c r="E140" s="21"/>
      <c r="F140" s="22"/>
      <c r="G140" s="22"/>
      <c r="H140" s="22" t="str">
        <f t="shared" si="2"/>
        <v/>
      </c>
      <c r="I140" s="22">
        <f t="shared" si="3"/>
        <v>0</v>
      </c>
      <c r="J140" s="23" t="str">
        <f t="shared" si="4"/>
        <v/>
      </c>
      <c r="K140" s="22">
        <f t="shared" si="5"/>
        <v>0</v>
      </c>
      <c r="L140" s="22">
        <f t="shared" si="6"/>
        <v>0</v>
      </c>
      <c r="M140" s="23">
        <f t="shared" si="7"/>
        <v>0.0612</v>
      </c>
      <c r="N140" s="22">
        <f t="shared" si="8"/>
        <v>0</v>
      </c>
      <c r="O140" s="23">
        <f t="shared" si="9"/>
        <v>0.124</v>
      </c>
      <c r="P140" s="22">
        <f t="shared" si="10"/>
        <v>0</v>
      </c>
      <c r="Q140" s="20">
        <f>SUMIFS(Entradas!D:D,Entradas!B:B,B140,Entradas!C:C,C140) - SUMIFS(Vendas!E:E,Vendas!C:C,B140,Vendas!D:D,C140)</f>
        <v>0</v>
      </c>
    </row>
    <row r="141">
      <c r="A141" s="19" t="str">
        <f t="shared" si="1"/>
        <v>P141</v>
      </c>
      <c r="D141" s="19"/>
      <c r="E141" s="21"/>
      <c r="F141" s="22"/>
      <c r="G141" s="22"/>
      <c r="H141" s="22" t="str">
        <f t="shared" si="2"/>
        <v/>
      </c>
      <c r="I141" s="22">
        <f t="shared" si="3"/>
        <v>0</v>
      </c>
      <c r="J141" s="23" t="str">
        <f t="shared" si="4"/>
        <v/>
      </c>
      <c r="K141" s="22">
        <f t="shared" si="5"/>
        <v>0</v>
      </c>
      <c r="L141" s="22">
        <f t="shared" si="6"/>
        <v>0</v>
      </c>
      <c r="M141" s="23">
        <f t="shared" si="7"/>
        <v>0.0612</v>
      </c>
      <c r="N141" s="22">
        <f t="shared" si="8"/>
        <v>0</v>
      </c>
      <c r="O141" s="23">
        <f t="shared" si="9"/>
        <v>0.124</v>
      </c>
      <c r="P141" s="22">
        <f t="shared" si="10"/>
        <v>0</v>
      </c>
      <c r="Q141" s="20">
        <f>SUMIFS(Entradas!D:D,Entradas!B:B,B141,Entradas!C:C,C141) - SUMIFS(Vendas!E:E,Vendas!C:C,B141,Vendas!D:D,C141)</f>
        <v>0</v>
      </c>
    </row>
    <row r="142">
      <c r="A142" s="19" t="str">
        <f t="shared" si="1"/>
        <v>P142</v>
      </c>
      <c r="D142" s="19"/>
      <c r="E142" s="21"/>
      <c r="F142" s="22"/>
      <c r="G142" s="22"/>
      <c r="H142" s="22" t="str">
        <f t="shared" si="2"/>
        <v/>
      </c>
      <c r="I142" s="22">
        <f t="shared" si="3"/>
        <v>0</v>
      </c>
      <c r="J142" s="23" t="str">
        <f t="shared" si="4"/>
        <v/>
      </c>
      <c r="K142" s="22">
        <f t="shared" si="5"/>
        <v>0</v>
      </c>
      <c r="L142" s="22">
        <f t="shared" si="6"/>
        <v>0</v>
      </c>
      <c r="M142" s="23">
        <f t="shared" si="7"/>
        <v>0.0612</v>
      </c>
      <c r="N142" s="22">
        <f t="shared" si="8"/>
        <v>0</v>
      </c>
      <c r="O142" s="23">
        <f t="shared" si="9"/>
        <v>0.124</v>
      </c>
      <c r="P142" s="22">
        <f t="shared" si="10"/>
        <v>0</v>
      </c>
      <c r="Q142" s="20">
        <f>SUMIFS(Entradas!D:D,Entradas!B:B,B142,Entradas!C:C,C142) - SUMIFS(Vendas!E:E,Vendas!C:C,B142,Vendas!D:D,C142)</f>
        <v>0</v>
      </c>
    </row>
    <row r="143">
      <c r="A143" s="19" t="str">
        <f t="shared" si="1"/>
        <v>P143</v>
      </c>
      <c r="D143" s="19"/>
      <c r="E143" s="21"/>
      <c r="F143" s="22"/>
      <c r="G143" s="22"/>
      <c r="H143" s="22" t="str">
        <f t="shared" si="2"/>
        <v/>
      </c>
      <c r="I143" s="22">
        <f t="shared" si="3"/>
        <v>0</v>
      </c>
      <c r="J143" s="23" t="str">
        <f t="shared" si="4"/>
        <v/>
      </c>
      <c r="K143" s="22">
        <f t="shared" si="5"/>
        <v>0</v>
      </c>
      <c r="L143" s="22">
        <f t="shared" si="6"/>
        <v>0</v>
      </c>
      <c r="M143" s="23">
        <f t="shared" si="7"/>
        <v>0.0612</v>
      </c>
      <c r="N143" s="22">
        <f t="shared" si="8"/>
        <v>0</v>
      </c>
      <c r="O143" s="23">
        <f t="shared" si="9"/>
        <v>0.124</v>
      </c>
      <c r="P143" s="22">
        <f t="shared" si="10"/>
        <v>0</v>
      </c>
      <c r="Q143" s="20">
        <f>SUMIFS(Entradas!D:D,Entradas!B:B,B143,Entradas!C:C,C143) - SUMIFS(Vendas!E:E,Vendas!C:C,B143,Vendas!D:D,C143)</f>
        <v>0</v>
      </c>
    </row>
    <row r="144">
      <c r="A144" s="19" t="str">
        <f t="shared" si="1"/>
        <v>P144</v>
      </c>
      <c r="D144" s="19"/>
      <c r="E144" s="21"/>
      <c r="F144" s="22"/>
      <c r="G144" s="22"/>
      <c r="H144" s="22" t="str">
        <f t="shared" si="2"/>
        <v/>
      </c>
      <c r="I144" s="22">
        <f t="shared" si="3"/>
        <v>0</v>
      </c>
      <c r="J144" s="23" t="str">
        <f t="shared" si="4"/>
        <v/>
      </c>
      <c r="K144" s="22">
        <f t="shared" si="5"/>
        <v>0</v>
      </c>
      <c r="L144" s="22">
        <f t="shared" si="6"/>
        <v>0</v>
      </c>
      <c r="M144" s="23">
        <f t="shared" si="7"/>
        <v>0.0612</v>
      </c>
      <c r="N144" s="22">
        <f t="shared" si="8"/>
        <v>0</v>
      </c>
      <c r="O144" s="23">
        <f t="shared" si="9"/>
        <v>0.124</v>
      </c>
      <c r="P144" s="22">
        <f t="shared" si="10"/>
        <v>0</v>
      </c>
      <c r="Q144" s="20">
        <f>SUMIFS(Entradas!D:D,Entradas!B:B,B144,Entradas!C:C,C144) - SUMIFS(Vendas!E:E,Vendas!C:C,B144,Vendas!D:D,C144)</f>
        <v>0</v>
      </c>
    </row>
    <row r="145">
      <c r="A145" s="19" t="str">
        <f t="shared" si="1"/>
        <v>P145</v>
      </c>
      <c r="D145" s="19"/>
      <c r="E145" s="21"/>
      <c r="F145" s="22"/>
      <c r="G145" s="22"/>
      <c r="H145" s="22" t="str">
        <f t="shared" si="2"/>
        <v/>
      </c>
      <c r="I145" s="22">
        <f t="shared" si="3"/>
        <v>0</v>
      </c>
      <c r="J145" s="23" t="str">
        <f t="shared" si="4"/>
        <v/>
      </c>
      <c r="K145" s="22">
        <f t="shared" si="5"/>
        <v>0</v>
      </c>
      <c r="L145" s="22">
        <f t="shared" si="6"/>
        <v>0</v>
      </c>
      <c r="M145" s="23">
        <f t="shared" si="7"/>
        <v>0.0612</v>
      </c>
      <c r="N145" s="22">
        <f t="shared" si="8"/>
        <v>0</v>
      </c>
      <c r="O145" s="23">
        <f t="shared" si="9"/>
        <v>0.124</v>
      </c>
      <c r="P145" s="22">
        <f t="shared" si="10"/>
        <v>0</v>
      </c>
      <c r="Q145" s="20">
        <f>SUMIFS(Entradas!D:D,Entradas!B:B,B145,Entradas!C:C,C145) - SUMIFS(Vendas!E:E,Vendas!C:C,B145,Vendas!D:D,C145)</f>
        <v>0</v>
      </c>
    </row>
    <row r="146">
      <c r="A146" s="19" t="str">
        <f t="shared" si="1"/>
        <v>P146</v>
      </c>
      <c r="D146" s="19"/>
      <c r="E146" s="21"/>
      <c r="F146" s="22"/>
      <c r="G146" s="22"/>
      <c r="H146" s="22" t="str">
        <f t="shared" si="2"/>
        <v/>
      </c>
      <c r="I146" s="22">
        <f t="shared" si="3"/>
        <v>0</v>
      </c>
      <c r="J146" s="23" t="str">
        <f t="shared" si="4"/>
        <v/>
      </c>
      <c r="K146" s="22">
        <f t="shared" si="5"/>
        <v>0</v>
      </c>
      <c r="L146" s="22">
        <f t="shared" si="6"/>
        <v>0</v>
      </c>
      <c r="M146" s="23">
        <f t="shared" si="7"/>
        <v>0.0612</v>
      </c>
      <c r="N146" s="22">
        <f t="shared" si="8"/>
        <v>0</v>
      </c>
      <c r="O146" s="23">
        <f t="shared" si="9"/>
        <v>0.124</v>
      </c>
      <c r="P146" s="22">
        <f t="shared" si="10"/>
        <v>0</v>
      </c>
      <c r="Q146" s="20">
        <f>SUMIFS(Entradas!D:D,Entradas!B:B,B146,Entradas!C:C,C146) - SUMIFS(Vendas!E:E,Vendas!C:C,B146,Vendas!D:D,C146)</f>
        <v>0</v>
      </c>
    </row>
    <row r="147">
      <c r="A147" s="19" t="str">
        <f t="shared" si="1"/>
        <v>P147</v>
      </c>
      <c r="D147" s="19"/>
      <c r="E147" s="21"/>
      <c r="F147" s="22"/>
      <c r="G147" s="22"/>
      <c r="H147" s="22" t="str">
        <f t="shared" si="2"/>
        <v/>
      </c>
      <c r="I147" s="22">
        <f t="shared" si="3"/>
        <v>0</v>
      </c>
      <c r="J147" s="23" t="str">
        <f t="shared" si="4"/>
        <v/>
      </c>
      <c r="K147" s="22">
        <f t="shared" si="5"/>
        <v>0</v>
      </c>
      <c r="L147" s="22">
        <f t="shared" si="6"/>
        <v>0</v>
      </c>
      <c r="M147" s="23">
        <f t="shared" si="7"/>
        <v>0.0612</v>
      </c>
      <c r="N147" s="22">
        <f t="shared" si="8"/>
        <v>0</v>
      </c>
      <c r="O147" s="23">
        <f t="shared" si="9"/>
        <v>0.124</v>
      </c>
      <c r="P147" s="22">
        <f t="shared" si="10"/>
        <v>0</v>
      </c>
      <c r="Q147" s="20">
        <f>SUMIFS(Entradas!D:D,Entradas!B:B,B147,Entradas!C:C,C147) - SUMIFS(Vendas!E:E,Vendas!C:C,B147,Vendas!D:D,C147)</f>
        <v>0</v>
      </c>
    </row>
    <row r="148">
      <c r="A148" s="19" t="str">
        <f t="shared" si="1"/>
        <v>P148</v>
      </c>
      <c r="D148" s="19"/>
      <c r="E148" s="21"/>
      <c r="F148" s="22"/>
      <c r="G148" s="22"/>
      <c r="H148" s="22" t="str">
        <f t="shared" si="2"/>
        <v/>
      </c>
      <c r="I148" s="22">
        <f t="shared" si="3"/>
        <v>0</v>
      </c>
      <c r="J148" s="23" t="str">
        <f t="shared" si="4"/>
        <v/>
      </c>
      <c r="K148" s="22">
        <f t="shared" si="5"/>
        <v>0</v>
      </c>
      <c r="L148" s="22">
        <f t="shared" si="6"/>
        <v>0</v>
      </c>
      <c r="M148" s="23">
        <f t="shared" si="7"/>
        <v>0.0612</v>
      </c>
      <c r="N148" s="22">
        <f t="shared" si="8"/>
        <v>0</v>
      </c>
      <c r="O148" s="23">
        <f t="shared" si="9"/>
        <v>0.124</v>
      </c>
      <c r="P148" s="22">
        <f t="shared" si="10"/>
        <v>0</v>
      </c>
      <c r="Q148" s="20">
        <f>SUMIFS(Entradas!D:D,Entradas!B:B,B148,Entradas!C:C,C148) - SUMIFS(Vendas!E:E,Vendas!C:C,B148,Vendas!D:D,C148)</f>
        <v>0</v>
      </c>
    </row>
    <row r="149">
      <c r="A149" s="19" t="str">
        <f t="shared" si="1"/>
        <v>P149</v>
      </c>
      <c r="D149" s="19"/>
      <c r="E149" s="21"/>
      <c r="F149" s="22"/>
      <c r="G149" s="22"/>
      <c r="H149" s="22" t="str">
        <f t="shared" si="2"/>
        <v/>
      </c>
      <c r="I149" s="22">
        <f t="shared" si="3"/>
        <v>0</v>
      </c>
      <c r="J149" s="23" t="str">
        <f t="shared" si="4"/>
        <v/>
      </c>
      <c r="K149" s="22">
        <f t="shared" si="5"/>
        <v>0</v>
      </c>
      <c r="L149" s="22">
        <f t="shared" si="6"/>
        <v>0</v>
      </c>
      <c r="M149" s="23">
        <f t="shared" si="7"/>
        <v>0.0612</v>
      </c>
      <c r="N149" s="22">
        <f t="shared" si="8"/>
        <v>0</v>
      </c>
      <c r="O149" s="23">
        <f t="shared" si="9"/>
        <v>0.124</v>
      </c>
      <c r="P149" s="22">
        <f t="shared" si="10"/>
        <v>0</v>
      </c>
      <c r="Q149" s="20">
        <f>SUMIFS(Entradas!D:D,Entradas!B:B,B149,Entradas!C:C,C149) - SUMIFS(Vendas!E:E,Vendas!C:C,B149,Vendas!D:D,C149)</f>
        <v>0</v>
      </c>
    </row>
    <row r="150">
      <c r="A150" s="19" t="str">
        <f t="shared" si="1"/>
        <v>P150</v>
      </c>
      <c r="D150" s="19"/>
      <c r="E150" s="21"/>
      <c r="F150" s="22"/>
      <c r="G150" s="22"/>
      <c r="H150" s="22" t="str">
        <f t="shared" si="2"/>
        <v/>
      </c>
      <c r="I150" s="22">
        <f t="shared" si="3"/>
        <v>0</v>
      </c>
      <c r="J150" s="23" t="str">
        <f t="shared" si="4"/>
        <v/>
      </c>
      <c r="K150" s="22">
        <f t="shared" si="5"/>
        <v>0</v>
      </c>
      <c r="L150" s="22">
        <f t="shared" si="6"/>
        <v>0</v>
      </c>
      <c r="M150" s="23">
        <f t="shared" si="7"/>
        <v>0.0612</v>
      </c>
      <c r="N150" s="22">
        <f t="shared" si="8"/>
        <v>0</v>
      </c>
      <c r="O150" s="23">
        <f t="shared" si="9"/>
        <v>0.124</v>
      </c>
      <c r="P150" s="22">
        <f t="shared" si="10"/>
        <v>0</v>
      </c>
      <c r="Q150" s="20">
        <f>SUMIFS(Entradas!D:D,Entradas!B:B,B150,Entradas!C:C,C150) - SUMIFS(Vendas!E:E,Vendas!C:C,B150,Vendas!D:D,C150)</f>
        <v>0</v>
      </c>
    </row>
    <row r="151">
      <c r="A151" s="19" t="str">
        <f t="shared" si="1"/>
        <v>P151</v>
      </c>
      <c r="D151" s="19"/>
      <c r="E151" s="21"/>
      <c r="F151" s="22"/>
      <c r="G151" s="22"/>
      <c r="H151" s="22" t="str">
        <f t="shared" si="2"/>
        <v/>
      </c>
      <c r="I151" s="22">
        <f t="shared" si="3"/>
        <v>0</v>
      </c>
      <c r="J151" s="23" t="str">
        <f t="shared" si="4"/>
        <v/>
      </c>
      <c r="K151" s="22">
        <f t="shared" si="5"/>
        <v>0</v>
      </c>
      <c r="L151" s="22">
        <f t="shared" si="6"/>
        <v>0</v>
      </c>
      <c r="M151" s="23">
        <f t="shared" si="7"/>
        <v>0.0612</v>
      </c>
      <c r="N151" s="22">
        <f t="shared" si="8"/>
        <v>0</v>
      </c>
      <c r="O151" s="23">
        <f t="shared" si="9"/>
        <v>0.124</v>
      </c>
      <c r="P151" s="22">
        <f t="shared" si="10"/>
        <v>0</v>
      </c>
      <c r="Q151" s="20">
        <f>SUMIFS(Entradas!D:D,Entradas!B:B,B151,Entradas!C:C,C151) - SUMIFS(Vendas!E:E,Vendas!C:C,B151,Vendas!D:D,C151)</f>
        <v>0</v>
      </c>
    </row>
    <row r="152">
      <c r="A152" s="19" t="str">
        <f t="shared" si="1"/>
        <v>P152</v>
      </c>
      <c r="D152" s="19"/>
      <c r="E152" s="21"/>
      <c r="F152" s="22"/>
      <c r="G152" s="22"/>
      <c r="H152" s="22" t="str">
        <f t="shared" si="2"/>
        <v/>
      </c>
      <c r="I152" s="22">
        <f t="shared" si="3"/>
        <v>0</v>
      </c>
      <c r="J152" s="23" t="str">
        <f t="shared" si="4"/>
        <v/>
      </c>
      <c r="K152" s="22">
        <f t="shared" si="5"/>
        <v>0</v>
      </c>
      <c r="L152" s="22">
        <f t="shared" si="6"/>
        <v>0</v>
      </c>
      <c r="M152" s="23">
        <f t="shared" si="7"/>
        <v>0.0612</v>
      </c>
      <c r="N152" s="22">
        <f t="shared" si="8"/>
        <v>0</v>
      </c>
      <c r="O152" s="23">
        <f t="shared" si="9"/>
        <v>0.124</v>
      </c>
      <c r="P152" s="22">
        <f t="shared" si="10"/>
        <v>0</v>
      </c>
      <c r="Q152" s="20">
        <f>SUMIFS(Entradas!D:D,Entradas!B:B,B152,Entradas!C:C,C152) - SUMIFS(Vendas!E:E,Vendas!C:C,B152,Vendas!D:D,C152)</f>
        <v>0</v>
      </c>
    </row>
    <row r="153">
      <c r="A153" s="19" t="str">
        <f t="shared" si="1"/>
        <v>P153</v>
      </c>
      <c r="D153" s="19"/>
      <c r="E153" s="21"/>
      <c r="F153" s="22"/>
      <c r="G153" s="22"/>
      <c r="H153" s="22" t="str">
        <f t="shared" si="2"/>
        <v/>
      </c>
      <c r="I153" s="22">
        <f t="shared" si="3"/>
        <v>0</v>
      </c>
      <c r="J153" s="23" t="str">
        <f t="shared" si="4"/>
        <v/>
      </c>
      <c r="K153" s="22">
        <f t="shared" si="5"/>
        <v>0</v>
      </c>
      <c r="L153" s="22">
        <f t="shared" si="6"/>
        <v>0</v>
      </c>
      <c r="M153" s="23">
        <f t="shared" si="7"/>
        <v>0.0612</v>
      </c>
      <c r="N153" s="22">
        <f t="shared" si="8"/>
        <v>0</v>
      </c>
      <c r="O153" s="23">
        <f t="shared" si="9"/>
        <v>0.124</v>
      </c>
      <c r="P153" s="22">
        <f t="shared" si="10"/>
        <v>0</v>
      </c>
      <c r="Q153" s="20">
        <f>SUMIFS(Entradas!D:D,Entradas!B:B,B153,Entradas!C:C,C153) - SUMIFS(Vendas!E:E,Vendas!C:C,B153,Vendas!D:D,C153)</f>
        <v>0</v>
      </c>
    </row>
    <row r="154">
      <c r="A154" s="19" t="str">
        <f t="shared" si="1"/>
        <v>P154</v>
      </c>
      <c r="D154" s="19"/>
      <c r="E154" s="21"/>
      <c r="F154" s="22"/>
      <c r="G154" s="22"/>
      <c r="H154" s="22" t="str">
        <f t="shared" si="2"/>
        <v/>
      </c>
      <c r="I154" s="22">
        <f t="shared" si="3"/>
        <v>0</v>
      </c>
      <c r="J154" s="23" t="str">
        <f t="shared" si="4"/>
        <v/>
      </c>
      <c r="K154" s="22">
        <f t="shared" si="5"/>
        <v>0</v>
      </c>
      <c r="L154" s="22">
        <f t="shared" si="6"/>
        <v>0</v>
      </c>
      <c r="M154" s="23">
        <f t="shared" si="7"/>
        <v>0.0612</v>
      </c>
      <c r="N154" s="22">
        <f t="shared" si="8"/>
        <v>0</v>
      </c>
      <c r="O154" s="23">
        <f t="shared" si="9"/>
        <v>0.124</v>
      </c>
      <c r="P154" s="22">
        <f t="shared" si="10"/>
        <v>0</v>
      </c>
      <c r="Q154" s="20">
        <f>SUMIFS(Entradas!D:D,Entradas!B:B,B154,Entradas!C:C,C154) - SUMIFS(Vendas!E:E,Vendas!C:C,B154,Vendas!D:D,C154)</f>
        <v>0</v>
      </c>
    </row>
    <row r="155">
      <c r="A155" s="19" t="str">
        <f t="shared" si="1"/>
        <v>P155</v>
      </c>
      <c r="D155" s="19"/>
      <c r="E155" s="21"/>
      <c r="F155" s="22"/>
      <c r="G155" s="22"/>
      <c r="H155" s="22" t="str">
        <f t="shared" si="2"/>
        <v/>
      </c>
      <c r="I155" s="22">
        <f t="shared" si="3"/>
        <v>0</v>
      </c>
      <c r="J155" s="23" t="str">
        <f t="shared" si="4"/>
        <v/>
      </c>
      <c r="K155" s="22">
        <f t="shared" si="5"/>
        <v>0</v>
      </c>
      <c r="L155" s="22">
        <f t="shared" si="6"/>
        <v>0</v>
      </c>
      <c r="M155" s="23">
        <f t="shared" si="7"/>
        <v>0.0612</v>
      </c>
      <c r="N155" s="22">
        <f t="shared" si="8"/>
        <v>0</v>
      </c>
      <c r="O155" s="23">
        <f t="shared" si="9"/>
        <v>0.124</v>
      </c>
      <c r="P155" s="22">
        <f t="shared" si="10"/>
        <v>0</v>
      </c>
      <c r="Q155" s="20">
        <f>SUMIFS(Entradas!D:D,Entradas!B:B,B155,Entradas!C:C,C155) - SUMIFS(Vendas!E:E,Vendas!C:C,B155,Vendas!D:D,C155)</f>
        <v>0</v>
      </c>
    </row>
    <row r="156">
      <c r="A156" s="19" t="str">
        <f t="shared" si="1"/>
        <v>P156</v>
      </c>
      <c r="D156" s="19"/>
      <c r="E156" s="21"/>
      <c r="F156" s="22"/>
      <c r="G156" s="22"/>
      <c r="H156" s="22" t="str">
        <f t="shared" si="2"/>
        <v/>
      </c>
      <c r="I156" s="22">
        <f t="shared" si="3"/>
        <v>0</v>
      </c>
      <c r="J156" s="23" t="str">
        <f t="shared" si="4"/>
        <v/>
      </c>
      <c r="K156" s="22">
        <f t="shared" si="5"/>
        <v>0</v>
      </c>
      <c r="L156" s="22">
        <f t="shared" si="6"/>
        <v>0</v>
      </c>
      <c r="M156" s="23">
        <f t="shared" si="7"/>
        <v>0.0612</v>
      </c>
      <c r="N156" s="22">
        <f t="shared" si="8"/>
        <v>0</v>
      </c>
      <c r="O156" s="23">
        <f t="shared" si="9"/>
        <v>0.124</v>
      </c>
      <c r="P156" s="22">
        <f t="shared" si="10"/>
        <v>0</v>
      </c>
      <c r="Q156" s="20">
        <f>SUMIFS(Entradas!D:D,Entradas!B:B,B156,Entradas!C:C,C156) - SUMIFS(Vendas!E:E,Vendas!C:C,B156,Vendas!D:D,C156)</f>
        <v>0</v>
      </c>
    </row>
    <row r="157">
      <c r="A157" s="19" t="str">
        <f t="shared" si="1"/>
        <v>P157</v>
      </c>
      <c r="D157" s="19"/>
      <c r="E157" s="21"/>
      <c r="F157" s="22"/>
      <c r="G157" s="22"/>
      <c r="H157" s="22" t="str">
        <f t="shared" si="2"/>
        <v/>
      </c>
      <c r="I157" s="22">
        <f t="shared" si="3"/>
        <v>0</v>
      </c>
      <c r="J157" s="23" t="str">
        <f t="shared" si="4"/>
        <v/>
      </c>
      <c r="K157" s="22">
        <f t="shared" si="5"/>
        <v>0</v>
      </c>
      <c r="L157" s="22">
        <f t="shared" si="6"/>
        <v>0</v>
      </c>
      <c r="M157" s="23">
        <f t="shared" si="7"/>
        <v>0.0612</v>
      </c>
      <c r="N157" s="22">
        <f t="shared" si="8"/>
        <v>0</v>
      </c>
      <c r="O157" s="23">
        <f t="shared" si="9"/>
        <v>0.124</v>
      </c>
      <c r="P157" s="22">
        <f t="shared" si="10"/>
        <v>0</v>
      </c>
      <c r="Q157" s="20">
        <f>SUMIFS(Entradas!D:D,Entradas!B:B,B157,Entradas!C:C,C157) - SUMIFS(Vendas!E:E,Vendas!C:C,B157,Vendas!D:D,C157)</f>
        <v>0</v>
      </c>
    </row>
    <row r="158">
      <c r="A158" s="19" t="str">
        <f t="shared" si="1"/>
        <v>P158</v>
      </c>
      <c r="D158" s="19"/>
      <c r="E158" s="21"/>
      <c r="F158" s="22"/>
      <c r="G158" s="22"/>
      <c r="H158" s="22" t="str">
        <f t="shared" si="2"/>
        <v/>
      </c>
      <c r="I158" s="22">
        <f t="shared" si="3"/>
        <v>0</v>
      </c>
      <c r="J158" s="23" t="str">
        <f t="shared" si="4"/>
        <v/>
      </c>
      <c r="K158" s="22">
        <f t="shared" si="5"/>
        <v>0</v>
      </c>
      <c r="L158" s="22">
        <f t="shared" si="6"/>
        <v>0</v>
      </c>
      <c r="M158" s="23">
        <f t="shared" si="7"/>
        <v>0.0612</v>
      </c>
      <c r="N158" s="22">
        <f t="shared" si="8"/>
        <v>0</v>
      </c>
      <c r="O158" s="23">
        <f t="shared" si="9"/>
        <v>0.124</v>
      </c>
      <c r="P158" s="22">
        <f t="shared" si="10"/>
        <v>0</v>
      </c>
      <c r="Q158" s="20">
        <f>SUMIFS(Entradas!D:D,Entradas!B:B,B158,Entradas!C:C,C158) - SUMIFS(Vendas!E:E,Vendas!C:C,B158,Vendas!D:D,C158)</f>
        <v>0</v>
      </c>
    </row>
    <row r="159">
      <c r="A159" s="19" t="str">
        <f t="shared" si="1"/>
        <v>P159</v>
      </c>
      <c r="D159" s="19"/>
      <c r="E159" s="21"/>
      <c r="F159" s="22"/>
      <c r="G159" s="22"/>
      <c r="H159" s="22" t="str">
        <f t="shared" si="2"/>
        <v/>
      </c>
      <c r="I159" s="22">
        <f t="shared" si="3"/>
        <v>0</v>
      </c>
      <c r="J159" s="23" t="str">
        <f t="shared" si="4"/>
        <v/>
      </c>
      <c r="K159" s="22">
        <f t="shared" si="5"/>
        <v>0</v>
      </c>
      <c r="L159" s="22">
        <f t="shared" si="6"/>
        <v>0</v>
      </c>
      <c r="M159" s="23">
        <f t="shared" si="7"/>
        <v>0.0612</v>
      </c>
      <c r="N159" s="22">
        <f t="shared" si="8"/>
        <v>0</v>
      </c>
      <c r="O159" s="23">
        <f t="shared" si="9"/>
        <v>0.124</v>
      </c>
      <c r="P159" s="22">
        <f t="shared" si="10"/>
        <v>0</v>
      </c>
      <c r="Q159" s="20">
        <f>SUMIFS(Entradas!D:D,Entradas!B:B,B159,Entradas!C:C,C159) - SUMIFS(Vendas!E:E,Vendas!C:C,B159,Vendas!D:D,C159)</f>
        <v>0</v>
      </c>
    </row>
    <row r="160">
      <c r="A160" s="19" t="str">
        <f t="shared" si="1"/>
        <v>P160</v>
      </c>
      <c r="D160" s="19"/>
      <c r="E160" s="21"/>
      <c r="F160" s="22"/>
      <c r="G160" s="22"/>
      <c r="H160" s="22" t="str">
        <f t="shared" si="2"/>
        <v/>
      </c>
      <c r="I160" s="22">
        <f t="shared" si="3"/>
        <v>0</v>
      </c>
      <c r="J160" s="23" t="str">
        <f t="shared" si="4"/>
        <v/>
      </c>
      <c r="K160" s="22">
        <f t="shared" si="5"/>
        <v>0</v>
      </c>
      <c r="L160" s="22">
        <f t="shared" si="6"/>
        <v>0</v>
      </c>
      <c r="M160" s="23">
        <f t="shared" si="7"/>
        <v>0.0612</v>
      </c>
      <c r="N160" s="22">
        <f t="shared" si="8"/>
        <v>0</v>
      </c>
      <c r="O160" s="23">
        <f t="shared" si="9"/>
        <v>0.124</v>
      </c>
      <c r="P160" s="22">
        <f t="shared" si="10"/>
        <v>0</v>
      </c>
      <c r="Q160" s="20">
        <f>SUMIFS(Entradas!D:D,Entradas!B:B,B160,Entradas!C:C,C160) - SUMIFS(Vendas!E:E,Vendas!C:C,B160,Vendas!D:D,C160)</f>
        <v>0</v>
      </c>
    </row>
    <row r="161">
      <c r="A161" s="19" t="str">
        <f t="shared" si="1"/>
        <v>P161</v>
      </c>
      <c r="D161" s="19"/>
      <c r="E161" s="21"/>
      <c r="F161" s="22"/>
      <c r="G161" s="22"/>
      <c r="H161" s="22" t="str">
        <f t="shared" si="2"/>
        <v/>
      </c>
      <c r="I161" s="22">
        <f t="shared" si="3"/>
        <v>0</v>
      </c>
      <c r="J161" s="23" t="str">
        <f t="shared" si="4"/>
        <v/>
      </c>
      <c r="K161" s="22">
        <f t="shared" si="5"/>
        <v>0</v>
      </c>
      <c r="L161" s="22">
        <f t="shared" si="6"/>
        <v>0</v>
      </c>
      <c r="M161" s="23">
        <f t="shared" si="7"/>
        <v>0.0612</v>
      </c>
      <c r="N161" s="22">
        <f t="shared" si="8"/>
        <v>0</v>
      </c>
      <c r="O161" s="23">
        <f t="shared" si="9"/>
        <v>0.124</v>
      </c>
      <c r="P161" s="22">
        <f t="shared" si="10"/>
        <v>0</v>
      </c>
      <c r="Q161" s="20">
        <f>SUMIFS(Entradas!D:D,Entradas!B:B,B161,Entradas!C:C,C161) - SUMIFS(Vendas!E:E,Vendas!C:C,B161,Vendas!D:D,C161)</f>
        <v>0</v>
      </c>
    </row>
    <row r="162">
      <c r="A162" s="19" t="str">
        <f t="shared" si="1"/>
        <v>P162</v>
      </c>
      <c r="D162" s="19"/>
      <c r="E162" s="21"/>
      <c r="F162" s="22"/>
      <c r="G162" s="22"/>
      <c r="H162" s="22" t="str">
        <f t="shared" si="2"/>
        <v/>
      </c>
      <c r="I162" s="22">
        <f t="shared" si="3"/>
        <v>0</v>
      </c>
      <c r="J162" s="23" t="str">
        <f t="shared" si="4"/>
        <v/>
      </c>
      <c r="K162" s="22">
        <f t="shared" si="5"/>
        <v>0</v>
      </c>
      <c r="L162" s="22">
        <f t="shared" si="6"/>
        <v>0</v>
      </c>
      <c r="M162" s="23">
        <f t="shared" si="7"/>
        <v>0.0612</v>
      </c>
      <c r="N162" s="22">
        <f t="shared" si="8"/>
        <v>0</v>
      </c>
      <c r="O162" s="23">
        <f t="shared" si="9"/>
        <v>0.124</v>
      </c>
      <c r="P162" s="22">
        <f t="shared" si="10"/>
        <v>0</v>
      </c>
      <c r="Q162" s="20">
        <f>SUMIFS(Entradas!D:D,Entradas!B:B,B162,Entradas!C:C,C162) - SUMIFS(Vendas!E:E,Vendas!C:C,B162,Vendas!D:D,C162)</f>
        <v>0</v>
      </c>
    </row>
    <row r="163">
      <c r="A163" s="19" t="str">
        <f t="shared" si="1"/>
        <v>P163</v>
      </c>
      <c r="D163" s="19"/>
      <c r="E163" s="21"/>
      <c r="F163" s="22"/>
      <c r="G163" s="22"/>
      <c r="H163" s="22" t="str">
        <f t="shared" si="2"/>
        <v/>
      </c>
      <c r="I163" s="22">
        <f t="shared" si="3"/>
        <v>0</v>
      </c>
      <c r="J163" s="23" t="str">
        <f t="shared" si="4"/>
        <v/>
      </c>
      <c r="K163" s="22">
        <f t="shared" si="5"/>
        <v>0</v>
      </c>
      <c r="L163" s="22">
        <f t="shared" si="6"/>
        <v>0</v>
      </c>
      <c r="M163" s="23">
        <f t="shared" si="7"/>
        <v>0.0612</v>
      </c>
      <c r="N163" s="22">
        <f t="shared" si="8"/>
        <v>0</v>
      </c>
      <c r="O163" s="23">
        <f t="shared" si="9"/>
        <v>0.124</v>
      </c>
      <c r="P163" s="22">
        <f t="shared" si="10"/>
        <v>0</v>
      </c>
      <c r="Q163" s="20">
        <f>SUMIFS(Entradas!D:D,Entradas!B:B,B163,Entradas!C:C,C163) - SUMIFS(Vendas!E:E,Vendas!C:C,B163,Vendas!D:D,C163)</f>
        <v>0</v>
      </c>
    </row>
    <row r="164">
      <c r="A164" s="19" t="str">
        <f t="shared" si="1"/>
        <v>P164</v>
      </c>
      <c r="D164" s="19"/>
      <c r="E164" s="21"/>
      <c r="F164" s="22"/>
      <c r="G164" s="22"/>
      <c r="H164" s="22" t="str">
        <f t="shared" si="2"/>
        <v/>
      </c>
      <c r="I164" s="22">
        <f t="shared" si="3"/>
        <v>0</v>
      </c>
      <c r="J164" s="23" t="str">
        <f t="shared" si="4"/>
        <v/>
      </c>
      <c r="K164" s="22">
        <f t="shared" si="5"/>
        <v>0</v>
      </c>
      <c r="L164" s="22">
        <f t="shared" si="6"/>
        <v>0</v>
      </c>
      <c r="M164" s="23">
        <f t="shared" si="7"/>
        <v>0.0612</v>
      </c>
      <c r="N164" s="22">
        <f t="shared" si="8"/>
        <v>0</v>
      </c>
      <c r="O164" s="23">
        <f t="shared" si="9"/>
        <v>0.124</v>
      </c>
      <c r="P164" s="22">
        <f t="shared" si="10"/>
        <v>0</v>
      </c>
      <c r="Q164" s="20">
        <f>SUMIFS(Entradas!D:D,Entradas!B:B,B164,Entradas!C:C,C164) - SUMIFS(Vendas!E:E,Vendas!C:C,B164,Vendas!D:D,C164)</f>
        <v>0</v>
      </c>
    </row>
    <row r="165">
      <c r="A165" s="19" t="str">
        <f t="shared" si="1"/>
        <v>P165</v>
      </c>
      <c r="D165" s="19"/>
      <c r="E165" s="21"/>
      <c r="F165" s="22"/>
      <c r="G165" s="22"/>
      <c r="H165" s="22" t="str">
        <f t="shared" si="2"/>
        <v/>
      </c>
      <c r="I165" s="22">
        <f t="shared" si="3"/>
        <v>0</v>
      </c>
      <c r="J165" s="23" t="str">
        <f t="shared" si="4"/>
        <v/>
      </c>
      <c r="K165" s="22">
        <f t="shared" si="5"/>
        <v>0</v>
      </c>
      <c r="L165" s="22">
        <f t="shared" si="6"/>
        <v>0</v>
      </c>
      <c r="M165" s="23">
        <f t="shared" si="7"/>
        <v>0.0612</v>
      </c>
      <c r="N165" s="22">
        <f t="shared" si="8"/>
        <v>0</v>
      </c>
      <c r="O165" s="23">
        <f t="shared" si="9"/>
        <v>0.124</v>
      </c>
      <c r="P165" s="22">
        <f t="shared" si="10"/>
        <v>0</v>
      </c>
      <c r="Q165" s="20">
        <f>SUMIFS(Entradas!D:D,Entradas!B:B,B165,Entradas!C:C,C165) - SUMIFS(Vendas!E:E,Vendas!C:C,B165,Vendas!D:D,C165)</f>
        <v>0</v>
      </c>
    </row>
    <row r="166">
      <c r="A166" s="19" t="str">
        <f t="shared" si="1"/>
        <v>P166</v>
      </c>
      <c r="D166" s="19"/>
      <c r="E166" s="21"/>
      <c r="F166" s="22"/>
      <c r="G166" s="22"/>
      <c r="H166" s="22" t="str">
        <f t="shared" si="2"/>
        <v/>
      </c>
      <c r="I166" s="22">
        <f t="shared" si="3"/>
        <v>0</v>
      </c>
      <c r="J166" s="23" t="str">
        <f t="shared" si="4"/>
        <v/>
      </c>
      <c r="K166" s="22">
        <f t="shared" si="5"/>
        <v>0</v>
      </c>
      <c r="L166" s="22">
        <f t="shared" si="6"/>
        <v>0</v>
      </c>
      <c r="M166" s="23">
        <f t="shared" si="7"/>
        <v>0.0612</v>
      </c>
      <c r="N166" s="22">
        <f t="shared" si="8"/>
        <v>0</v>
      </c>
      <c r="O166" s="23">
        <f t="shared" si="9"/>
        <v>0.124</v>
      </c>
      <c r="P166" s="22">
        <f t="shared" si="10"/>
        <v>0</v>
      </c>
      <c r="Q166" s="20">
        <f>SUMIFS(Entradas!D:D,Entradas!B:B,B166,Entradas!C:C,C166) - SUMIFS(Vendas!E:E,Vendas!C:C,B166,Vendas!D:D,C166)</f>
        <v>0</v>
      </c>
    </row>
    <row r="167">
      <c r="A167" s="19" t="str">
        <f t="shared" si="1"/>
        <v>P167</v>
      </c>
      <c r="D167" s="19"/>
      <c r="E167" s="21"/>
      <c r="F167" s="22"/>
      <c r="G167" s="22"/>
      <c r="H167" s="22" t="str">
        <f t="shared" si="2"/>
        <v/>
      </c>
      <c r="I167" s="22">
        <f t="shared" si="3"/>
        <v>0</v>
      </c>
      <c r="J167" s="23" t="str">
        <f t="shared" si="4"/>
        <v/>
      </c>
      <c r="K167" s="22">
        <f t="shared" si="5"/>
        <v>0</v>
      </c>
      <c r="L167" s="22">
        <f t="shared" si="6"/>
        <v>0</v>
      </c>
      <c r="M167" s="23">
        <f t="shared" si="7"/>
        <v>0.0612</v>
      </c>
      <c r="N167" s="22">
        <f t="shared" si="8"/>
        <v>0</v>
      </c>
      <c r="O167" s="23">
        <f t="shared" si="9"/>
        <v>0.124</v>
      </c>
      <c r="P167" s="22">
        <f t="shared" si="10"/>
        <v>0</v>
      </c>
      <c r="Q167" s="20">
        <f>SUMIFS(Entradas!D:D,Entradas!B:B,B167,Entradas!C:C,C167) - SUMIFS(Vendas!E:E,Vendas!C:C,B167,Vendas!D:D,C167)</f>
        <v>0</v>
      </c>
    </row>
    <row r="168">
      <c r="A168" s="19" t="str">
        <f t="shared" si="1"/>
        <v>P168</v>
      </c>
      <c r="D168" s="19"/>
      <c r="E168" s="21"/>
      <c r="F168" s="22"/>
      <c r="G168" s="22"/>
      <c r="H168" s="22" t="str">
        <f t="shared" si="2"/>
        <v/>
      </c>
      <c r="I168" s="22">
        <f t="shared" si="3"/>
        <v>0</v>
      </c>
      <c r="J168" s="23" t="str">
        <f t="shared" si="4"/>
        <v/>
      </c>
      <c r="K168" s="22">
        <f t="shared" si="5"/>
        <v>0</v>
      </c>
      <c r="L168" s="22">
        <f t="shared" si="6"/>
        <v>0</v>
      </c>
      <c r="M168" s="23">
        <f t="shared" si="7"/>
        <v>0.0612</v>
      </c>
      <c r="N168" s="22">
        <f t="shared" si="8"/>
        <v>0</v>
      </c>
      <c r="O168" s="23">
        <f t="shared" si="9"/>
        <v>0.124</v>
      </c>
      <c r="P168" s="22">
        <f t="shared" si="10"/>
        <v>0</v>
      </c>
      <c r="Q168" s="20">
        <f>SUMIFS(Entradas!D:D,Entradas!B:B,B168,Entradas!C:C,C168) - SUMIFS(Vendas!E:E,Vendas!C:C,B168,Vendas!D:D,C168)</f>
        <v>0</v>
      </c>
    </row>
    <row r="169">
      <c r="A169" s="19" t="str">
        <f t="shared" si="1"/>
        <v>P169</v>
      </c>
      <c r="D169" s="19"/>
      <c r="E169" s="21"/>
      <c r="F169" s="22"/>
      <c r="G169" s="22"/>
      <c r="H169" s="22" t="str">
        <f t="shared" si="2"/>
        <v/>
      </c>
      <c r="I169" s="22">
        <f t="shared" si="3"/>
        <v>0</v>
      </c>
      <c r="J169" s="23" t="str">
        <f t="shared" si="4"/>
        <v/>
      </c>
      <c r="K169" s="22">
        <f t="shared" si="5"/>
        <v>0</v>
      </c>
      <c r="L169" s="22">
        <f t="shared" si="6"/>
        <v>0</v>
      </c>
      <c r="M169" s="23">
        <f t="shared" si="7"/>
        <v>0.0612</v>
      </c>
      <c r="N169" s="22">
        <f t="shared" si="8"/>
        <v>0</v>
      </c>
      <c r="O169" s="23">
        <f t="shared" si="9"/>
        <v>0.124</v>
      </c>
      <c r="P169" s="22">
        <f t="shared" si="10"/>
        <v>0</v>
      </c>
      <c r="Q169" s="20">
        <f>SUMIFS(Entradas!D:D,Entradas!B:B,B169,Entradas!C:C,C169) - SUMIFS(Vendas!E:E,Vendas!C:C,B169,Vendas!D:D,C169)</f>
        <v>0</v>
      </c>
    </row>
    <row r="170">
      <c r="A170" s="19" t="str">
        <f t="shared" si="1"/>
        <v>P170</v>
      </c>
      <c r="D170" s="19"/>
      <c r="E170" s="21"/>
      <c r="F170" s="22"/>
      <c r="G170" s="22"/>
      <c r="H170" s="22" t="str">
        <f t="shared" si="2"/>
        <v/>
      </c>
      <c r="I170" s="22">
        <f t="shared" si="3"/>
        <v>0</v>
      </c>
      <c r="J170" s="23" t="str">
        <f t="shared" si="4"/>
        <v/>
      </c>
      <c r="K170" s="22">
        <f t="shared" si="5"/>
        <v>0</v>
      </c>
      <c r="L170" s="22">
        <f t="shared" si="6"/>
        <v>0</v>
      </c>
      <c r="M170" s="23">
        <f t="shared" si="7"/>
        <v>0.0612</v>
      </c>
      <c r="N170" s="22">
        <f t="shared" si="8"/>
        <v>0</v>
      </c>
      <c r="O170" s="23">
        <f t="shared" si="9"/>
        <v>0.124</v>
      </c>
      <c r="P170" s="22">
        <f t="shared" si="10"/>
        <v>0</v>
      </c>
      <c r="Q170" s="20">
        <f>SUMIFS(Entradas!D:D,Entradas!B:B,B170,Entradas!C:C,C170) - SUMIFS(Vendas!E:E,Vendas!C:C,B170,Vendas!D:D,C170)</f>
        <v>0</v>
      </c>
    </row>
    <row r="171">
      <c r="A171" s="19" t="str">
        <f t="shared" si="1"/>
        <v>P171</v>
      </c>
      <c r="D171" s="19"/>
      <c r="E171" s="21"/>
      <c r="F171" s="22"/>
      <c r="G171" s="22"/>
      <c r="H171" s="22" t="str">
        <f t="shared" si="2"/>
        <v/>
      </c>
      <c r="I171" s="22">
        <f t="shared" si="3"/>
        <v>0</v>
      </c>
      <c r="J171" s="23" t="str">
        <f t="shared" si="4"/>
        <v/>
      </c>
      <c r="K171" s="22">
        <f t="shared" si="5"/>
        <v>0</v>
      </c>
      <c r="L171" s="22">
        <f t="shared" si="6"/>
        <v>0</v>
      </c>
      <c r="M171" s="23">
        <f t="shared" si="7"/>
        <v>0.0612</v>
      </c>
      <c r="N171" s="22">
        <f t="shared" si="8"/>
        <v>0</v>
      </c>
      <c r="O171" s="23">
        <f t="shared" si="9"/>
        <v>0.124</v>
      </c>
      <c r="P171" s="22">
        <f t="shared" si="10"/>
        <v>0</v>
      </c>
      <c r="Q171" s="20">
        <f>SUMIFS(Entradas!D:D,Entradas!B:B,B171,Entradas!C:C,C171) - SUMIFS(Vendas!E:E,Vendas!C:C,B171,Vendas!D:D,C171)</f>
        <v>0</v>
      </c>
    </row>
    <row r="172">
      <c r="A172" s="19" t="str">
        <f t="shared" si="1"/>
        <v>P172</v>
      </c>
      <c r="D172" s="19"/>
      <c r="E172" s="21"/>
      <c r="F172" s="22"/>
      <c r="G172" s="22"/>
      <c r="H172" s="22" t="str">
        <f t="shared" si="2"/>
        <v/>
      </c>
      <c r="I172" s="22">
        <f t="shared" si="3"/>
        <v>0</v>
      </c>
      <c r="J172" s="23" t="str">
        <f t="shared" si="4"/>
        <v/>
      </c>
      <c r="K172" s="22">
        <f t="shared" si="5"/>
        <v>0</v>
      </c>
      <c r="L172" s="22">
        <f t="shared" si="6"/>
        <v>0</v>
      </c>
      <c r="M172" s="23">
        <f t="shared" si="7"/>
        <v>0.0612</v>
      </c>
      <c r="N172" s="22">
        <f t="shared" si="8"/>
        <v>0</v>
      </c>
      <c r="O172" s="23">
        <f t="shared" si="9"/>
        <v>0.124</v>
      </c>
      <c r="P172" s="22">
        <f t="shared" si="10"/>
        <v>0</v>
      </c>
      <c r="Q172" s="20">
        <f>SUMIFS(Entradas!D:D,Entradas!B:B,B172,Entradas!C:C,C172) - SUMIFS(Vendas!E:E,Vendas!C:C,B172,Vendas!D:D,C172)</f>
        <v>0</v>
      </c>
    </row>
    <row r="173">
      <c r="A173" s="19" t="str">
        <f t="shared" si="1"/>
        <v>P173</v>
      </c>
      <c r="D173" s="19"/>
      <c r="E173" s="21"/>
      <c r="F173" s="22"/>
      <c r="G173" s="22"/>
      <c r="H173" s="22" t="str">
        <f t="shared" si="2"/>
        <v/>
      </c>
      <c r="I173" s="22">
        <f t="shared" si="3"/>
        <v>0</v>
      </c>
      <c r="J173" s="23" t="str">
        <f t="shared" si="4"/>
        <v/>
      </c>
      <c r="K173" s="22">
        <f t="shared" si="5"/>
        <v>0</v>
      </c>
      <c r="L173" s="22">
        <f t="shared" si="6"/>
        <v>0</v>
      </c>
      <c r="M173" s="23">
        <f t="shared" si="7"/>
        <v>0.0612</v>
      </c>
      <c r="N173" s="22">
        <f t="shared" si="8"/>
        <v>0</v>
      </c>
      <c r="O173" s="23">
        <f t="shared" si="9"/>
        <v>0.124</v>
      </c>
      <c r="P173" s="22">
        <f t="shared" si="10"/>
        <v>0</v>
      </c>
      <c r="Q173" s="20">
        <f>SUMIFS(Entradas!D:D,Entradas!B:B,B173,Entradas!C:C,C173) - SUMIFS(Vendas!E:E,Vendas!C:C,B173,Vendas!D:D,C173)</f>
        <v>0</v>
      </c>
    </row>
    <row r="174">
      <c r="A174" s="19" t="str">
        <f t="shared" si="1"/>
        <v>P174</v>
      </c>
      <c r="D174" s="19"/>
      <c r="E174" s="21"/>
      <c r="F174" s="22"/>
      <c r="G174" s="22"/>
      <c r="H174" s="22" t="str">
        <f t="shared" si="2"/>
        <v/>
      </c>
      <c r="I174" s="22">
        <f t="shared" si="3"/>
        <v>0</v>
      </c>
      <c r="J174" s="23" t="str">
        <f t="shared" si="4"/>
        <v/>
      </c>
      <c r="K174" s="22">
        <f t="shared" si="5"/>
        <v>0</v>
      </c>
      <c r="L174" s="22">
        <f t="shared" si="6"/>
        <v>0</v>
      </c>
      <c r="M174" s="23">
        <f t="shared" si="7"/>
        <v>0.0612</v>
      </c>
      <c r="N174" s="22">
        <f t="shared" si="8"/>
        <v>0</v>
      </c>
      <c r="O174" s="23">
        <f t="shared" si="9"/>
        <v>0.124</v>
      </c>
      <c r="P174" s="22">
        <f t="shared" si="10"/>
        <v>0</v>
      </c>
      <c r="Q174" s="20">
        <f>SUMIFS(Entradas!D:D,Entradas!B:B,B174,Entradas!C:C,C174) - SUMIFS(Vendas!E:E,Vendas!C:C,B174,Vendas!D:D,C174)</f>
        <v>0</v>
      </c>
    </row>
    <row r="175">
      <c r="A175" s="19" t="str">
        <f t="shared" si="1"/>
        <v>P175</v>
      </c>
      <c r="D175" s="19"/>
      <c r="E175" s="21"/>
      <c r="F175" s="22"/>
      <c r="G175" s="22"/>
      <c r="H175" s="22" t="str">
        <f t="shared" si="2"/>
        <v/>
      </c>
      <c r="I175" s="22">
        <f t="shared" si="3"/>
        <v>0</v>
      </c>
      <c r="J175" s="23" t="str">
        <f t="shared" si="4"/>
        <v/>
      </c>
      <c r="K175" s="22">
        <f t="shared" si="5"/>
        <v>0</v>
      </c>
      <c r="L175" s="22">
        <f t="shared" si="6"/>
        <v>0</v>
      </c>
      <c r="M175" s="23">
        <f t="shared" si="7"/>
        <v>0.0612</v>
      </c>
      <c r="N175" s="22">
        <f t="shared" si="8"/>
        <v>0</v>
      </c>
      <c r="O175" s="23">
        <f t="shared" si="9"/>
        <v>0.124</v>
      </c>
      <c r="P175" s="22">
        <f t="shared" si="10"/>
        <v>0</v>
      </c>
      <c r="Q175" s="20">
        <f>SUMIFS(Entradas!D:D,Entradas!B:B,B175,Entradas!C:C,C175) - SUMIFS(Vendas!E:E,Vendas!C:C,B175,Vendas!D:D,C175)</f>
        <v>0</v>
      </c>
    </row>
    <row r="176">
      <c r="A176" s="19" t="str">
        <f t="shared" si="1"/>
        <v>P176</v>
      </c>
      <c r="D176" s="19"/>
      <c r="E176" s="21"/>
      <c r="F176" s="22"/>
      <c r="G176" s="22"/>
      <c r="H176" s="22" t="str">
        <f t="shared" si="2"/>
        <v/>
      </c>
      <c r="I176" s="22">
        <f t="shared" si="3"/>
        <v>0</v>
      </c>
      <c r="J176" s="23" t="str">
        <f t="shared" si="4"/>
        <v/>
      </c>
      <c r="K176" s="22">
        <f t="shared" si="5"/>
        <v>0</v>
      </c>
      <c r="L176" s="22">
        <f t="shared" si="6"/>
        <v>0</v>
      </c>
      <c r="M176" s="23">
        <f t="shared" si="7"/>
        <v>0.0612</v>
      </c>
      <c r="N176" s="22">
        <f t="shared" si="8"/>
        <v>0</v>
      </c>
      <c r="O176" s="23">
        <f t="shared" si="9"/>
        <v>0.124</v>
      </c>
      <c r="P176" s="22">
        <f t="shared" si="10"/>
        <v>0</v>
      </c>
      <c r="Q176" s="20">
        <f>SUMIFS(Entradas!D:D,Entradas!B:B,B176,Entradas!C:C,C176) - SUMIFS(Vendas!E:E,Vendas!C:C,B176,Vendas!D:D,C176)</f>
        <v>0</v>
      </c>
    </row>
    <row r="177">
      <c r="A177" s="19" t="str">
        <f t="shared" si="1"/>
        <v>P177</v>
      </c>
      <c r="D177" s="19"/>
      <c r="E177" s="21"/>
      <c r="F177" s="22"/>
      <c r="G177" s="22"/>
      <c r="H177" s="22" t="str">
        <f t="shared" si="2"/>
        <v/>
      </c>
      <c r="I177" s="22">
        <f t="shared" si="3"/>
        <v>0</v>
      </c>
      <c r="J177" s="23" t="str">
        <f t="shared" si="4"/>
        <v/>
      </c>
      <c r="K177" s="22">
        <f t="shared" si="5"/>
        <v>0</v>
      </c>
      <c r="L177" s="22">
        <f t="shared" si="6"/>
        <v>0</v>
      </c>
      <c r="M177" s="23">
        <f t="shared" si="7"/>
        <v>0.0612</v>
      </c>
      <c r="N177" s="22">
        <f t="shared" si="8"/>
        <v>0</v>
      </c>
      <c r="O177" s="23">
        <f t="shared" si="9"/>
        <v>0.124</v>
      </c>
      <c r="P177" s="22">
        <f t="shared" si="10"/>
        <v>0</v>
      </c>
      <c r="Q177" s="20">
        <f>SUMIFS(Entradas!D:D,Entradas!B:B,B177,Entradas!C:C,C177) - SUMIFS(Vendas!E:E,Vendas!C:C,B177,Vendas!D:D,C177)</f>
        <v>0</v>
      </c>
    </row>
    <row r="178">
      <c r="A178" s="19" t="str">
        <f t="shared" si="1"/>
        <v>P178</v>
      </c>
      <c r="D178" s="19"/>
      <c r="E178" s="21"/>
      <c r="F178" s="22"/>
      <c r="G178" s="22"/>
      <c r="H178" s="22" t="str">
        <f t="shared" si="2"/>
        <v/>
      </c>
      <c r="I178" s="22">
        <f t="shared" si="3"/>
        <v>0</v>
      </c>
      <c r="J178" s="23" t="str">
        <f t="shared" si="4"/>
        <v/>
      </c>
      <c r="K178" s="22">
        <f t="shared" si="5"/>
        <v>0</v>
      </c>
      <c r="L178" s="22">
        <f t="shared" si="6"/>
        <v>0</v>
      </c>
      <c r="M178" s="23">
        <f t="shared" si="7"/>
        <v>0.0612</v>
      </c>
      <c r="N178" s="22">
        <f t="shared" si="8"/>
        <v>0</v>
      </c>
      <c r="O178" s="23">
        <f t="shared" si="9"/>
        <v>0.124</v>
      </c>
      <c r="P178" s="22">
        <f t="shared" si="10"/>
        <v>0</v>
      </c>
      <c r="Q178" s="20">
        <f>SUMIFS(Entradas!D:D,Entradas!B:B,B178,Entradas!C:C,C178) - SUMIFS(Vendas!E:E,Vendas!C:C,B178,Vendas!D:D,C178)</f>
        <v>0</v>
      </c>
    </row>
    <row r="179">
      <c r="A179" s="19" t="str">
        <f t="shared" si="1"/>
        <v>P179</v>
      </c>
      <c r="D179" s="19"/>
      <c r="E179" s="21"/>
      <c r="F179" s="22"/>
      <c r="G179" s="22"/>
      <c r="H179" s="22" t="str">
        <f t="shared" si="2"/>
        <v/>
      </c>
      <c r="I179" s="22">
        <f t="shared" si="3"/>
        <v>0</v>
      </c>
      <c r="J179" s="23" t="str">
        <f t="shared" si="4"/>
        <v/>
      </c>
      <c r="K179" s="22">
        <f t="shared" si="5"/>
        <v>0</v>
      </c>
      <c r="L179" s="22">
        <f t="shared" si="6"/>
        <v>0</v>
      </c>
      <c r="M179" s="23">
        <f t="shared" si="7"/>
        <v>0.0612</v>
      </c>
      <c r="N179" s="22">
        <f t="shared" si="8"/>
        <v>0</v>
      </c>
      <c r="O179" s="23">
        <f t="shared" si="9"/>
        <v>0.124</v>
      </c>
      <c r="P179" s="22">
        <f t="shared" si="10"/>
        <v>0</v>
      </c>
      <c r="Q179" s="20">
        <f>SUMIFS(Entradas!D:D,Entradas!B:B,B179,Entradas!C:C,C179) - SUMIFS(Vendas!E:E,Vendas!C:C,B179,Vendas!D:D,C179)</f>
        <v>0</v>
      </c>
    </row>
    <row r="180">
      <c r="A180" s="19" t="str">
        <f t="shared" si="1"/>
        <v>P180</v>
      </c>
      <c r="D180" s="19"/>
      <c r="E180" s="21"/>
      <c r="F180" s="22"/>
      <c r="G180" s="22"/>
      <c r="H180" s="22" t="str">
        <f t="shared" si="2"/>
        <v/>
      </c>
      <c r="I180" s="22">
        <f t="shared" si="3"/>
        <v>0</v>
      </c>
      <c r="J180" s="23" t="str">
        <f t="shared" si="4"/>
        <v/>
      </c>
      <c r="K180" s="22">
        <f t="shared" si="5"/>
        <v>0</v>
      </c>
      <c r="L180" s="22">
        <f t="shared" si="6"/>
        <v>0</v>
      </c>
      <c r="M180" s="23">
        <f t="shared" si="7"/>
        <v>0.0612</v>
      </c>
      <c r="N180" s="22">
        <f t="shared" si="8"/>
        <v>0</v>
      </c>
      <c r="O180" s="23">
        <f t="shared" si="9"/>
        <v>0.124</v>
      </c>
      <c r="P180" s="22">
        <f t="shared" si="10"/>
        <v>0</v>
      </c>
      <c r="Q180" s="20">
        <f>SUMIFS(Entradas!D:D,Entradas!B:B,B180,Entradas!C:C,C180) - SUMIFS(Vendas!E:E,Vendas!C:C,B180,Vendas!D:D,C180)</f>
        <v>0</v>
      </c>
    </row>
    <row r="181">
      <c r="A181" s="19" t="str">
        <f t="shared" si="1"/>
        <v>P181</v>
      </c>
      <c r="D181" s="19"/>
      <c r="E181" s="21"/>
      <c r="F181" s="22"/>
      <c r="G181" s="22"/>
      <c r="H181" s="22" t="str">
        <f t="shared" si="2"/>
        <v/>
      </c>
      <c r="I181" s="22">
        <f t="shared" si="3"/>
        <v>0</v>
      </c>
      <c r="J181" s="23" t="str">
        <f t="shared" si="4"/>
        <v/>
      </c>
      <c r="K181" s="22">
        <f t="shared" si="5"/>
        <v>0</v>
      </c>
      <c r="L181" s="22">
        <f t="shared" si="6"/>
        <v>0</v>
      </c>
      <c r="M181" s="23">
        <f t="shared" si="7"/>
        <v>0.0612</v>
      </c>
      <c r="N181" s="22">
        <f t="shared" si="8"/>
        <v>0</v>
      </c>
      <c r="O181" s="23">
        <f t="shared" si="9"/>
        <v>0.124</v>
      </c>
      <c r="P181" s="22">
        <f t="shared" si="10"/>
        <v>0</v>
      </c>
      <c r="Q181" s="20">
        <f>SUMIFS(Entradas!D:D,Entradas!B:B,B181,Entradas!C:C,C181) - SUMIFS(Vendas!E:E,Vendas!C:C,B181,Vendas!D:D,C181)</f>
        <v>0</v>
      </c>
    </row>
    <row r="182">
      <c r="A182" s="19" t="str">
        <f t="shared" si="1"/>
        <v>P182</v>
      </c>
      <c r="D182" s="19"/>
      <c r="E182" s="21"/>
      <c r="F182" s="22"/>
      <c r="G182" s="22"/>
      <c r="H182" s="22" t="str">
        <f t="shared" si="2"/>
        <v/>
      </c>
      <c r="I182" s="22">
        <f t="shared" si="3"/>
        <v>0</v>
      </c>
      <c r="J182" s="23" t="str">
        <f t="shared" si="4"/>
        <v/>
      </c>
      <c r="K182" s="22">
        <f t="shared" si="5"/>
        <v>0</v>
      </c>
      <c r="L182" s="22">
        <f t="shared" si="6"/>
        <v>0</v>
      </c>
      <c r="M182" s="23">
        <f t="shared" si="7"/>
        <v>0.0612</v>
      </c>
      <c r="N182" s="22">
        <f t="shared" si="8"/>
        <v>0</v>
      </c>
      <c r="O182" s="23">
        <f t="shared" si="9"/>
        <v>0.124</v>
      </c>
      <c r="P182" s="22">
        <f t="shared" si="10"/>
        <v>0</v>
      </c>
      <c r="Q182" s="20">
        <f>SUMIFS(Entradas!D:D,Entradas!B:B,B182,Entradas!C:C,C182) - SUMIFS(Vendas!E:E,Vendas!C:C,B182,Vendas!D:D,C182)</f>
        <v>0</v>
      </c>
    </row>
    <row r="183">
      <c r="A183" s="19" t="str">
        <f t="shared" si="1"/>
        <v>P183</v>
      </c>
      <c r="D183" s="19"/>
      <c r="E183" s="21"/>
      <c r="F183" s="22"/>
      <c r="G183" s="22"/>
      <c r="H183" s="22" t="str">
        <f t="shared" si="2"/>
        <v/>
      </c>
      <c r="I183" s="22">
        <f t="shared" si="3"/>
        <v>0</v>
      </c>
      <c r="J183" s="23" t="str">
        <f t="shared" si="4"/>
        <v/>
      </c>
      <c r="K183" s="22">
        <f t="shared" si="5"/>
        <v>0</v>
      </c>
      <c r="L183" s="22">
        <f t="shared" si="6"/>
        <v>0</v>
      </c>
      <c r="M183" s="23">
        <f t="shared" si="7"/>
        <v>0.0612</v>
      </c>
      <c r="N183" s="22">
        <f t="shared" si="8"/>
        <v>0</v>
      </c>
      <c r="O183" s="23">
        <f t="shared" si="9"/>
        <v>0.124</v>
      </c>
      <c r="P183" s="22">
        <f t="shared" si="10"/>
        <v>0</v>
      </c>
      <c r="Q183" s="20">
        <f>SUMIFS(Entradas!D:D,Entradas!B:B,B183,Entradas!C:C,C183) - SUMIFS(Vendas!E:E,Vendas!C:C,B183,Vendas!D:D,C183)</f>
        <v>0</v>
      </c>
    </row>
    <row r="184">
      <c r="A184" s="19" t="str">
        <f t="shared" si="1"/>
        <v>P184</v>
      </c>
      <c r="D184" s="19"/>
      <c r="E184" s="21"/>
      <c r="F184" s="22"/>
      <c r="G184" s="22"/>
      <c r="H184" s="22" t="str">
        <f t="shared" si="2"/>
        <v/>
      </c>
      <c r="I184" s="22">
        <f t="shared" si="3"/>
        <v>0</v>
      </c>
      <c r="J184" s="23" t="str">
        <f t="shared" si="4"/>
        <v/>
      </c>
      <c r="K184" s="22">
        <f t="shared" si="5"/>
        <v>0</v>
      </c>
      <c r="L184" s="22">
        <f t="shared" si="6"/>
        <v>0</v>
      </c>
      <c r="M184" s="23">
        <f t="shared" si="7"/>
        <v>0.0612</v>
      </c>
      <c r="N184" s="22">
        <f t="shared" si="8"/>
        <v>0</v>
      </c>
      <c r="O184" s="23">
        <f t="shared" si="9"/>
        <v>0.124</v>
      </c>
      <c r="P184" s="22">
        <f t="shared" si="10"/>
        <v>0</v>
      </c>
      <c r="Q184" s="20">
        <f>SUMIFS(Entradas!D:D,Entradas!B:B,B184,Entradas!C:C,C184) - SUMIFS(Vendas!E:E,Vendas!C:C,B184,Vendas!D:D,C184)</f>
        <v>0</v>
      </c>
    </row>
    <row r="185">
      <c r="A185" s="19" t="str">
        <f t="shared" si="1"/>
        <v>P185</v>
      </c>
      <c r="D185" s="19"/>
      <c r="E185" s="21"/>
      <c r="F185" s="22"/>
      <c r="G185" s="22"/>
      <c r="H185" s="22" t="str">
        <f t="shared" si="2"/>
        <v/>
      </c>
      <c r="I185" s="22">
        <f t="shared" si="3"/>
        <v>0</v>
      </c>
      <c r="J185" s="23" t="str">
        <f t="shared" si="4"/>
        <v/>
      </c>
      <c r="K185" s="22">
        <f t="shared" si="5"/>
        <v>0</v>
      </c>
      <c r="L185" s="22">
        <f t="shared" si="6"/>
        <v>0</v>
      </c>
      <c r="M185" s="23">
        <f t="shared" si="7"/>
        <v>0.0612</v>
      </c>
      <c r="N185" s="22">
        <f t="shared" si="8"/>
        <v>0</v>
      </c>
      <c r="O185" s="23">
        <f t="shared" si="9"/>
        <v>0.124</v>
      </c>
      <c r="P185" s="22">
        <f t="shared" si="10"/>
        <v>0</v>
      </c>
      <c r="Q185" s="20">
        <f>SUMIFS(Entradas!D:D,Entradas!B:B,B185,Entradas!C:C,C185) - SUMIFS(Vendas!E:E,Vendas!C:C,B185,Vendas!D:D,C185)</f>
        <v>0</v>
      </c>
    </row>
    <row r="186">
      <c r="A186" s="19" t="str">
        <f t="shared" si="1"/>
        <v>P186</v>
      </c>
      <c r="D186" s="19"/>
      <c r="E186" s="21"/>
      <c r="F186" s="22"/>
      <c r="G186" s="22"/>
      <c r="H186" s="22" t="str">
        <f t="shared" si="2"/>
        <v/>
      </c>
      <c r="I186" s="22">
        <f t="shared" si="3"/>
        <v>0</v>
      </c>
      <c r="J186" s="23" t="str">
        <f t="shared" si="4"/>
        <v/>
      </c>
      <c r="K186" s="22">
        <f t="shared" si="5"/>
        <v>0</v>
      </c>
      <c r="L186" s="22">
        <f t="shared" si="6"/>
        <v>0</v>
      </c>
      <c r="M186" s="23">
        <f t="shared" si="7"/>
        <v>0.0612</v>
      </c>
      <c r="N186" s="22">
        <f t="shared" si="8"/>
        <v>0</v>
      </c>
      <c r="O186" s="23">
        <f t="shared" si="9"/>
        <v>0.124</v>
      </c>
      <c r="P186" s="22">
        <f t="shared" si="10"/>
        <v>0</v>
      </c>
      <c r="Q186" s="20">
        <f>SUMIFS(Entradas!D:D,Entradas!B:B,B186,Entradas!C:C,C186) - SUMIFS(Vendas!E:E,Vendas!C:C,B186,Vendas!D:D,C186)</f>
        <v>0</v>
      </c>
    </row>
    <row r="187">
      <c r="A187" s="19" t="str">
        <f t="shared" si="1"/>
        <v>P187</v>
      </c>
      <c r="D187" s="19"/>
      <c r="E187" s="21"/>
      <c r="F187" s="22"/>
      <c r="G187" s="22"/>
      <c r="H187" s="22" t="str">
        <f t="shared" si="2"/>
        <v/>
      </c>
      <c r="I187" s="22">
        <f t="shared" si="3"/>
        <v>0</v>
      </c>
      <c r="J187" s="23" t="str">
        <f t="shared" si="4"/>
        <v/>
      </c>
      <c r="K187" s="22">
        <f t="shared" si="5"/>
        <v>0</v>
      </c>
      <c r="L187" s="22">
        <f t="shared" si="6"/>
        <v>0</v>
      </c>
      <c r="M187" s="23">
        <f t="shared" si="7"/>
        <v>0.0612</v>
      </c>
      <c r="N187" s="22">
        <f t="shared" si="8"/>
        <v>0</v>
      </c>
      <c r="O187" s="23">
        <f t="shared" si="9"/>
        <v>0.124</v>
      </c>
      <c r="P187" s="22">
        <f t="shared" si="10"/>
        <v>0</v>
      </c>
      <c r="Q187" s="20">
        <f>SUMIFS(Entradas!D:D,Entradas!B:B,B187,Entradas!C:C,C187) - SUMIFS(Vendas!E:E,Vendas!C:C,B187,Vendas!D:D,C187)</f>
        <v>0</v>
      </c>
    </row>
    <row r="188">
      <c r="A188" s="19" t="str">
        <f t="shared" si="1"/>
        <v>P188</v>
      </c>
      <c r="D188" s="19"/>
      <c r="E188" s="21"/>
      <c r="F188" s="22"/>
      <c r="G188" s="22"/>
      <c r="H188" s="22" t="str">
        <f t="shared" si="2"/>
        <v/>
      </c>
      <c r="I188" s="22">
        <f t="shared" si="3"/>
        <v>0</v>
      </c>
      <c r="J188" s="23" t="str">
        <f t="shared" si="4"/>
        <v/>
      </c>
      <c r="K188" s="22">
        <f t="shared" si="5"/>
        <v>0</v>
      </c>
      <c r="L188" s="22">
        <f t="shared" si="6"/>
        <v>0</v>
      </c>
      <c r="M188" s="23">
        <f t="shared" si="7"/>
        <v>0.0612</v>
      </c>
      <c r="N188" s="22">
        <f t="shared" si="8"/>
        <v>0</v>
      </c>
      <c r="O188" s="23">
        <f t="shared" si="9"/>
        <v>0.124</v>
      </c>
      <c r="P188" s="22">
        <f t="shared" si="10"/>
        <v>0</v>
      </c>
      <c r="Q188" s="20">
        <f>SUMIFS(Entradas!D:D,Entradas!B:B,B188,Entradas!C:C,C188) - SUMIFS(Vendas!E:E,Vendas!C:C,B188,Vendas!D:D,C188)</f>
        <v>0</v>
      </c>
    </row>
    <row r="189">
      <c r="A189" s="19" t="str">
        <f t="shared" si="1"/>
        <v>P189</v>
      </c>
      <c r="D189" s="19"/>
      <c r="E189" s="21"/>
      <c r="F189" s="22"/>
      <c r="G189" s="22"/>
      <c r="H189" s="22" t="str">
        <f t="shared" si="2"/>
        <v/>
      </c>
      <c r="I189" s="22">
        <f t="shared" si="3"/>
        <v>0</v>
      </c>
      <c r="J189" s="23" t="str">
        <f t="shared" si="4"/>
        <v/>
      </c>
      <c r="K189" s="22">
        <f t="shared" si="5"/>
        <v>0</v>
      </c>
      <c r="L189" s="22">
        <f t="shared" si="6"/>
        <v>0</v>
      </c>
      <c r="M189" s="23">
        <f t="shared" si="7"/>
        <v>0.0612</v>
      </c>
      <c r="N189" s="22">
        <f t="shared" si="8"/>
        <v>0</v>
      </c>
      <c r="O189" s="23">
        <f t="shared" si="9"/>
        <v>0.124</v>
      </c>
      <c r="P189" s="22">
        <f t="shared" si="10"/>
        <v>0</v>
      </c>
      <c r="Q189" s="20">
        <f>SUMIFS(Entradas!D:D,Entradas!B:B,B189,Entradas!C:C,C189) - SUMIFS(Vendas!E:E,Vendas!C:C,B189,Vendas!D:D,C189)</f>
        <v>0</v>
      </c>
    </row>
    <row r="190">
      <c r="A190" s="19" t="str">
        <f t="shared" si="1"/>
        <v>P190</v>
      </c>
      <c r="D190" s="19"/>
      <c r="E190" s="21"/>
      <c r="F190" s="22"/>
      <c r="G190" s="22"/>
      <c r="H190" s="22" t="str">
        <f t="shared" si="2"/>
        <v/>
      </c>
      <c r="I190" s="22">
        <f t="shared" si="3"/>
        <v>0</v>
      </c>
      <c r="J190" s="23" t="str">
        <f t="shared" si="4"/>
        <v/>
      </c>
      <c r="K190" s="22">
        <f t="shared" si="5"/>
        <v>0</v>
      </c>
      <c r="L190" s="22">
        <f t="shared" si="6"/>
        <v>0</v>
      </c>
      <c r="M190" s="23">
        <f t="shared" si="7"/>
        <v>0.0612</v>
      </c>
      <c r="N190" s="22">
        <f t="shared" si="8"/>
        <v>0</v>
      </c>
      <c r="O190" s="23">
        <f t="shared" si="9"/>
        <v>0.124</v>
      </c>
      <c r="P190" s="22">
        <f t="shared" si="10"/>
        <v>0</v>
      </c>
      <c r="Q190" s="20">
        <f>SUMIFS(Entradas!D:D,Entradas!B:B,B190,Entradas!C:C,C190) - SUMIFS(Vendas!E:E,Vendas!C:C,B190,Vendas!D:D,C190)</f>
        <v>0</v>
      </c>
    </row>
    <row r="191">
      <c r="A191" s="19" t="str">
        <f t="shared" si="1"/>
        <v>P191</v>
      </c>
      <c r="D191" s="19"/>
      <c r="E191" s="21"/>
      <c r="F191" s="22"/>
      <c r="G191" s="22"/>
      <c r="H191" s="22" t="str">
        <f t="shared" si="2"/>
        <v/>
      </c>
      <c r="I191" s="22">
        <f t="shared" si="3"/>
        <v>0</v>
      </c>
      <c r="J191" s="23" t="str">
        <f t="shared" si="4"/>
        <v/>
      </c>
      <c r="K191" s="22">
        <f t="shared" si="5"/>
        <v>0</v>
      </c>
      <c r="L191" s="22">
        <f t="shared" si="6"/>
        <v>0</v>
      </c>
      <c r="M191" s="23">
        <f t="shared" si="7"/>
        <v>0.0612</v>
      </c>
      <c r="N191" s="22">
        <f t="shared" si="8"/>
        <v>0</v>
      </c>
      <c r="O191" s="23">
        <f t="shared" si="9"/>
        <v>0.124</v>
      </c>
      <c r="P191" s="22">
        <f t="shared" si="10"/>
        <v>0</v>
      </c>
      <c r="Q191" s="20">
        <f>SUMIFS(Entradas!D:D,Entradas!B:B,B191,Entradas!C:C,C191) - SUMIFS(Vendas!E:E,Vendas!C:C,B191,Vendas!D:D,C191)</f>
        <v>0</v>
      </c>
    </row>
    <row r="192">
      <c r="A192" s="19" t="str">
        <f t="shared" si="1"/>
        <v>P192</v>
      </c>
      <c r="D192" s="19"/>
      <c r="E192" s="21"/>
      <c r="F192" s="22"/>
      <c r="G192" s="22"/>
      <c r="H192" s="22" t="str">
        <f t="shared" si="2"/>
        <v/>
      </c>
      <c r="I192" s="22">
        <f t="shared" si="3"/>
        <v>0</v>
      </c>
      <c r="J192" s="23" t="str">
        <f t="shared" si="4"/>
        <v/>
      </c>
      <c r="K192" s="22">
        <f t="shared" si="5"/>
        <v>0</v>
      </c>
      <c r="L192" s="22">
        <f t="shared" si="6"/>
        <v>0</v>
      </c>
      <c r="M192" s="23">
        <f t="shared" si="7"/>
        <v>0.0612</v>
      </c>
      <c r="N192" s="22">
        <f t="shared" si="8"/>
        <v>0</v>
      </c>
      <c r="O192" s="23">
        <f t="shared" si="9"/>
        <v>0.124</v>
      </c>
      <c r="P192" s="22">
        <f t="shared" si="10"/>
        <v>0</v>
      </c>
      <c r="Q192" s="20">
        <f>SUMIFS(Entradas!D:D,Entradas!B:B,B192,Entradas!C:C,C192) - SUMIFS(Vendas!E:E,Vendas!C:C,B192,Vendas!D:D,C192)</f>
        <v>0</v>
      </c>
    </row>
    <row r="193">
      <c r="A193" s="19" t="str">
        <f t="shared" si="1"/>
        <v>P193</v>
      </c>
      <c r="D193" s="19"/>
      <c r="E193" s="21"/>
      <c r="F193" s="22"/>
      <c r="G193" s="22"/>
      <c r="H193" s="22" t="str">
        <f t="shared" si="2"/>
        <v/>
      </c>
      <c r="I193" s="22">
        <f t="shared" si="3"/>
        <v>0</v>
      </c>
      <c r="J193" s="23" t="str">
        <f t="shared" si="4"/>
        <v/>
      </c>
      <c r="K193" s="22">
        <f t="shared" si="5"/>
        <v>0</v>
      </c>
      <c r="L193" s="22">
        <f t="shared" si="6"/>
        <v>0</v>
      </c>
      <c r="M193" s="23">
        <f t="shared" si="7"/>
        <v>0.0612</v>
      </c>
      <c r="N193" s="22">
        <f t="shared" si="8"/>
        <v>0</v>
      </c>
      <c r="O193" s="23">
        <f t="shared" si="9"/>
        <v>0.124</v>
      </c>
      <c r="P193" s="22">
        <f t="shared" si="10"/>
        <v>0</v>
      </c>
      <c r="Q193" s="20">
        <f>SUMIFS(Entradas!D:D,Entradas!B:B,B193,Entradas!C:C,C193) - SUMIFS(Vendas!E:E,Vendas!C:C,B193,Vendas!D:D,C193)</f>
        <v>0</v>
      </c>
    </row>
    <row r="194">
      <c r="A194" s="19" t="str">
        <f t="shared" si="1"/>
        <v>P194</v>
      </c>
      <c r="D194" s="19"/>
      <c r="E194" s="21"/>
      <c r="F194" s="22"/>
      <c r="G194" s="22"/>
      <c r="H194" s="22" t="str">
        <f t="shared" si="2"/>
        <v/>
      </c>
      <c r="I194" s="22">
        <f t="shared" si="3"/>
        <v>0</v>
      </c>
      <c r="J194" s="23" t="str">
        <f t="shared" si="4"/>
        <v/>
      </c>
      <c r="K194" s="22">
        <f t="shared" si="5"/>
        <v>0</v>
      </c>
      <c r="L194" s="22">
        <f t="shared" si="6"/>
        <v>0</v>
      </c>
      <c r="M194" s="23">
        <f t="shared" si="7"/>
        <v>0.0612</v>
      </c>
      <c r="N194" s="22">
        <f t="shared" si="8"/>
        <v>0</v>
      </c>
      <c r="O194" s="23">
        <f t="shared" si="9"/>
        <v>0.124</v>
      </c>
      <c r="P194" s="22">
        <f t="shared" si="10"/>
        <v>0</v>
      </c>
      <c r="Q194" s="20">
        <f>SUMIFS(Entradas!D:D,Entradas!B:B,B194,Entradas!C:C,C194) - SUMIFS(Vendas!E:E,Vendas!C:C,B194,Vendas!D:D,C194)</f>
        <v>0</v>
      </c>
    </row>
    <row r="195">
      <c r="A195" s="19" t="str">
        <f t="shared" si="1"/>
        <v>P195</v>
      </c>
      <c r="D195" s="19"/>
      <c r="E195" s="21"/>
      <c r="F195" s="22"/>
      <c r="G195" s="22"/>
      <c r="H195" s="22" t="str">
        <f t="shared" si="2"/>
        <v/>
      </c>
      <c r="I195" s="22">
        <f t="shared" si="3"/>
        <v>0</v>
      </c>
      <c r="J195" s="23" t="str">
        <f t="shared" si="4"/>
        <v/>
      </c>
      <c r="K195" s="22">
        <f t="shared" si="5"/>
        <v>0</v>
      </c>
      <c r="L195" s="22">
        <f t="shared" si="6"/>
        <v>0</v>
      </c>
      <c r="M195" s="23">
        <f t="shared" si="7"/>
        <v>0.0612</v>
      </c>
      <c r="N195" s="22">
        <f t="shared" si="8"/>
        <v>0</v>
      </c>
      <c r="O195" s="23">
        <f t="shared" si="9"/>
        <v>0.124</v>
      </c>
      <c r="P195" s="22">
        <f t="shared" si="10"/>
        <v>0</v>
      </c>
      <c r="Q195" s="20">
        <f>SUMIFS(Entradas!D:D,Entradas!B:B,B195,Entradas!C:C,C195) - SUMIFS(Vendas!E:E,Vendas!C:C,B195,Vendas!D:D,C195)</f>
        <v>0</v>
      </c>
    </row>
    <row r="196">
      <c r="A196" s="19" t="str">
        <f t="shared" si="1"/>
        <v>P196</v>
      </c>
      <c r="D196" s="19"/>
      <c r="E196" s="21"/>
      <c r="F196" s="22"/>
      <c r="G196" s="22"/>
      <c r="H196" s="22" t="str">
        <f t="shared" si="2"/>
        <v/>
      </c>
      <c r="I196" s="22">
        <f t="shared" si="3"/>
        <v>0</v>
      </c>
      <c r="J196" s="23" t="str">
        <f t="shared" si="4"/>
        <v/>
      </c>
      <c r="K196" s="22">
        <f t="shared" si="5"/>
        <v>0</v>
      </c>
      <c r="L196" s="22">
        <f t="shared" si="6"/>
        <v>0</v>
      </c>
      <c r="M196" s="23">
        <f t="shared" si="7"/>
        <v>0.0612</v>
      </c>
      <c r="N196" s="22">
        <f t="shared" si="8"/>
        <v>0</v>
      </c>
      <c r="O196" s="23">
        <f t="shared" si="9"/>
        <v>0.124</v>
      </c>
      <c r="P196" s="22">
        <f t="shared" si="10"/>
        <v>0</v>
      </c>
      <c r="Q196" s="20">
        <f>SUMIFS(Entradas!D:D,Entradas!B:B,B196,Entradas!C:C,C196) - SUMIFS(Vendas!E:E,Vendas!C:C,B196,Vendas!D:D,C196)</f>
        <v>0</v>
      </c>
    </row>
    <row r="197">
      <c r="A197" s="19" t="str">
        <f t="shared" si="1"/>
        <v>P197</v>
      </c>
      <c r="D197" s="19"/>
      <c r="E197" s="21"/>
      <c r="F197" s="22"/>
      <c r="G197" s="22"/>
      <c r="H197" s="22" t="str">
        <f t="shared" si="2"/>
        <v/>
      </c>
      <c r="I197" s="22">
        <f t="shared" si="3"/>
        <v>0</v>
      </c>
      <c r="J197" s="23" t="str">
        <f t="shared" si="4"/>
        <v/>
      </c>
      <c r="K197" s="22">
        <f t="shared" si="5"/>
        <v>0</v>
      </c>
      <c r="L197" s="22">
        <f t="shared" si="6"/>
        <v>0</v>
      </c>
      <c r="M197" s="23">
        <f t="shared" si="7"/>
        <v>0.0612</v>
      </c>
      <c r="N197" s="22">
        <f t="shared" si="8"/>
        <v>0</v>
      </c>
      <c r="O197" s="23">
        <f t="shared" si="9"/>
        <v>0.124</v>
      </c>
      <c r="P197" s="22">
        <f t="shared" si="10"/>
        <v>0</v>
      </c>
      <c r="Q197" s="20">
        <f>SUMIFS(Entradas!D:D,Entradas!B:B,B197,Entradas!C:C,C197) - SUMIFS(Vendas!E:E,Vendas!C:C,B197,Vendas!D:D,C197)</f>
        <v>0</v>
      </c>
    </row>
    <row r="198">
      <c r="A198" s="19" t="str">
        <f t="shared" si="1"/>
        <v>P198</v>
      </c>
      <c r="D198" s="19"/>
      <c r="E198" s="21"/>
      <c r="F198" s="22"/>
      <c r="G198" s="22"/>
      <c r="H198" s="22" t="str">
        <f t="shared" si="2"/>
        <v/>
      </c>
      <c r="I198" s="22">
        <f t="shared" si="3"/>
        <v>0</v>
      </c>
      <c r="J198" s="23" t="str">
        <f t="shared" si="4"/>
        <v/>
      </c>
      <c r="K198" s="22">
        <f t="shared" si="5"/>
        <v>0</v>
      </c>
      <c r="L198" s="22">
        <f t="shared" si="6"/>
        <v>0</v>
      </c>
      <c r="M198" s="23">
        <f t="shared" si="7"/>
        <v>0.0612</v>
      </c>
      <c r="N198" s="22">
        <f t="shared" si="8"/>
        <v>0</v>
      </c>
      <c r="O198" s="23">
        <f t="shared" si="9"/>
        <v>0.124</v>
      </c>
      <c r="P198" s="22">
        <f t="shared" si="10"/>
        <v>0</v>
      </c>
      <c r="Q198" s="20">
        <f>SUMIFS(Entradas!D:D,Entradas!B:B,B198,Entradas!C:C,C198) - SUMIFS(Vendas!E:E,Vendas!C:C,B198,Vendas!D:D,C198)</f>
        <v>0</v>
      </c>
    </row>
    <row r="199">
      <c r="A199" s="19" t="str">
        <f t="shared" si="1"/>
        <v>P199</v>
      </c>
      <c r="D199" s="19"/>
      <c r="E199" s="21"/>
      <c r="F199" s="22"/>
      <c r="G199" s="22"/>
      <c r="H199" s="22" t="str">
        <f t="shared" si="2"/>
        <v/>
      </c>
      <c r="I199" s="22">
        <f t="shared" si="3"/>
        <v>0</v>
      </c>
      <c r="J199" s="23" t="str">
        <f t="shared" si="4"/>
        <v/>
      </c>
      <c r="K199" s="22">
        <f t="shared" si="5"/>
        <v>0</v>
      </c>
      <c r="L199" s="22">
        <f t="shared" si="6"/>
        <v>0</v>
      </c>
      <c r="M199" s="23">
        <f t="shared" si="7"/>
        <v>0.0612</v>
      </c>
      <c r="N199" s="22">
        <f t="shared" si="8"/>
        <v>0</v>
      </c>
      <c r="O199" s="23">
        <f t="shared" si="9"/>
        <v>0.124</v>
      </c>
      <c r="P199" s="22">
        <f t="shared" si="10"/>
        <v>0</v>
      </c>
      <c r="Q199" s="20">
        <f>SUMIFS(Entradas!D:D,Entradas!B:B,B199,Entradas!C:C,C199) - SUMIFS(Vendas!E:E,Vendas!C:C,B199,Vendas!D:D,C199)</f>
        <v>0</v>
      </c>
    </row>
    <row r="200">
      <c r="A200" s="19" t="str">
        <f t="shared" si="1"/>
        <v>P200</v>
      </c>
      <c r="D200" s="19"/>
      <c r="E200" s="21"/>
      <c r="F200" s="22"/>
      <c r="G200" s="22"/>
      <c r="H200" s="22" t="str">
        <f t="shared" si="2"/>
        <v/>
      </c>
      <c r="I200" s="22">
        <f t="shared" si="3"/>
        <v>0</v>
      </c>
      <c r="J200" s="23" t="str">
        <f t="shared" si="4"/>
        <v/>
      </c>
      <c r="K200" s="22">
        <f t="shared" si="5"/>
        <v>0</v>
      </c>
      <c r="L200" s="22">
        <f t="shared" si="6"/>
        <v>0</v>
      </c>
      <c r="M200" s="23">
        <f t="shared" si="7"/>
        <v>0.0612</v>
      </c>
      <c r="N200" s="22">
        <f t="shared" si="8"/>
        <v>0</v>
      </c>
      <c r="O200" s="23">
        <f t="shared" si="9"/>
        <v>0.124</v>
      </c>
      <c r="P200" s="22">
        <f t="shared" si="10"/>
        <v>0</v>
      </c>
      <c r="Q200" s="20">
        <f>SUMIFS(Entradas!D:D,Entradas!B:B,B200,Entradas!C:C,C200) - SUMIFS(Vendas!E:E,Vendas!C:C,B200,Vendas!D:D,C200)</f>
        <v>0</v>
      </c>
    </row>
    <row r="201">
      <c r="A201" s="19" t="str">
        <f t="shared" si="1"/>
        <v>P201</v>
      </c>
      <c r="D201" s="19"/>
      <c r="E201" s="21"/>
      <c r="F201" s="22"/>
      <c r="G201" s="22"/>
      <c r="H201" s="22" t="str">
        <f t="shared" si="2"/>
        <v/>
      </c>
      <c r="I201" s="22">
        <f t="shared" si="3"/>
        <v>0</v>
      </c>
      <c r="J201" s="23" t="str">
        <f t="shared" si="4"/>
        <v/>
      </c>
      <c r="K201" s="22">
        <f t="shared" si="5"/>
        <v>0</v>
      </c>
      <c r="L201" s="22">
        <f t="shared" si="6"/>
        <v>0</v>
      </c>
      <c r="M201" s="23">
        <f t="shared" si="7"/>
        <v>0.0612</v>
      </c>
      <c r="N201" s="22">
        <f t="shared" si="8"/>
        <v>0</v>
      </c>
      <c r="O201" s="23">
        <f t="shared" si="9"/>
        <v>0.124</v>
      </c>
      <c r="P201" s="22">
        <f t="shared" si="10"/>
        <v>0</v>
      </c>
      <c r="Q201" s="20">
        <f>SUMIFS(Entradas!D:D,Entradas!B:B,B201,Entradas!C:C,C201) - SUMIFS(Vendas!E:E,Vendas!C:C,B201,Vendas!D:D,C201)</f>
        <v>0</v>
      </c>
    </row>
    <row r="202">
      <c r="A202" s="19" t="str">
        <f t="shared" si="1"/>
        <v>P202</v>
      </c>
      <c r="D202" s="19"/>
      <c r="E202" s="21"/>
      <c r="F202" s="22"/>
      <c r="G202" s="22"/>
      <c r="H202" s="22" t="str">
        <f t="shared" si="2"/>
        <v/>
      </c>
      <c r="I202" s="22">
        <f t="shared" si="3"/>
        <v>0</v>
      </c>
      <c r="J202" s="23" t="str">
        <f t="shared" si="4"/>
        <v/>
      </c>
      <c r="K202" s="22">
        <f t="shared" si="5"/>
        <v>0</v>
      </c>
      <c r="L202" s="22">
        <f t="shared" si="6"/>
        <v>0</v>
      </c>
      <c r="M202" s="23">
        <f t="shared" si="7"/>
        <v>0.0612</v>
      </c>
      <c r="N202" s="22">
        <f t="shared" si="8"/>
        <v>0</v>
      </c>
      <c r="O202" s="23">
        <f t="shared" si="9"/>
        <v>0.124</v>
      </c>
      <c r="P202" s="22">
        <f t="shared" si="10"/>
        <v>0</v>
      </c>
      <c r="Q202" s="20">
        <f>SUMIFS(Entradas!D:D,Entradas!B:B,B202,Entradas!C:C,C202) - SUMIFS(Vendas!E:E,Vendas!C:C,B202,Vendas!D:D,C202)</f>
        <v>0</v>
      </c>
    </row>
    <row r="203">
      <c r="A203" s="19" t="str">
        <f t="shared" si="1"/>
        <v>P203</v>
      </c>
      <c r="D203" s="19"/>
      <c r="E203" s="21"/>
      <c r="F203" s="22"/>
      <c r="G203" s="22"/>
      <c r="H203" s="22" t="str">
        <f t="shared" si="2"/>
        <v/>
      </c>
      <c r="I203" s="22">
        <f t="shared" si="3"/>
        <v>0</v>
      </c>
      <c r="J203" s="23" t="str">
        <f t="shared" si="4"/>
        <v/>
      </c>
      <c r="K203" s="22">
        <f t="shared" si="5"/>
        <v>0</v>
      </c>
      <c r="L203" s="22">
        <f t="shared" si="6"/>
        <v>0</v>
      </c>
      <c r="M203" s="23">
        <f t="shared" si="7"/>
        <v>0.0612</v>
      </c>
      <c r="N203" s="22">
        <f t="shared" si="8"/>
        <v>0</v>
      </c>
      <c r="O203" s="23">
        <f t="shared" si="9"/>
        <v>0.124</v>
      </c>
      <c r="P203" s="22">
        <f t="shared" si="10"/>
        <v>0</v>
      </c>
      <c r="Q203" s="20">
        <f>SUMIFS(Entradas!D:D,Entradas!B:B,B203,Entradas!C:C,C203) - SUMIFS(Vendas!E:E,Vendas!C:C,B203,Vendas!D:D,C203)</f>
        <v>0</v>
      </c>
    </row>
    <row r="204">
      <c r="A204" s="19" t="str">
        <f t="shared" si="1"/>
        <v>P204</v>
      </c>
      <c r="D204" s="19"/>
      <c r="E204" s="21"/>
      <c r="F204" s="22"/>
      <c r="G204" s="22"/>
      <c r="H204" s="22" t="str">
        <f t="shared" si="2"/>
        <v/>
      </c>
      <c r="I204" s="22">
        <f t="shared" si="3"/>
        <v>0</v>
      </c>
      <c r="J204" s="23" t="str">
        <f t="shared" si="4"/>
        <v/>
      </c>
      <c r="K204" s="22">
        <f t="shared" si="5"/>
        <v>0</v>
      </c>
      <c r="L204" s="22">
        <f t="shared" si="6"/>
        <v>0</v>
      </c>
      <c r="M204" s="23">
        <f t="shared" si="7"/>
        <v>0.0612</v>
      </c>
      <c r="N204" s="22">
        <f t="shared" si="8"/>
        <v>0</v>
      </c>
      <c r="O204" s="23">
        <f t="shared" si="9"/>
        <v>0.124</v>
      </c>
      <c r="P204" s="22">
        <f t="shared" si="10"/>
        <v>0</v>
      </c>
      <c r="Q204" s="20">
        <f>SUMIFS(Entradas!D:D,Entradas!B:B,B204,Entradas!C:C,C204) - SUMIFS(Vendas!E:E,Vendas!C:C,B204,Vendas!D:D,C204)</f>
        <v>0</v>
      </c>
    </row>
    <row r="205">
      <c r="A205" s="19" t="str">
        <f t="shared" si="1"/>
        <v>P205</v>
      </c>
      <c r="D205" s="19"/>
      <c r="E205" s="21"/>
      <c r="F205" s="22"/>
      <c r="G205" s="22"/>
      <c r="H205" s="22" t="str">
        <f t="shared" si="2"/>
        <v/>
      </c>
      <c r="I205" s="22">
        <f t="shared" si="3"/>
        <v>0</v>
      </c>
      <c r="J205" s="23" t="str">
        <f t="shared" si="4"/>
        <v/>
      </c>
      <c r="K205" s="22">
        <f t="shared" si="5"/>
        <v>0</v>
      </c>
      <c r="L205" s="22">
        <f t="shared" si="6"/>
        <v>0</v>
      </c>
      <c r="M205" s="23">
        <f t="shared" si="7"/>
        <v>0.0612</v>
      </c>
      <c r="N205" s="22">
        <f t="shared" si="8"/>
        <v>0</v>
      </c>
      <c r="O205" s="23">
        <f t="shared" si="9"/>
        <v>0.124</v>
      </c>
      <c r="P205" s="22">
        <f t="shared" si="10"/>
        <v>0</v>
      </c>
      <c r="Q205" s="20">
        <f>SUMIFS(Entradas!D:D,Entradas!B:B,B205,Entradas!C:C,C205) - SUMIFS(Vendas!E:E,Vendas!C:C,B205,Vendas!D:D,C205)</f>
        <v>0</v>
      </c>
    </row>
    <row r="206">
      <c r="A206" s="19" t="str">
        <f t="shared" si="1"/>
        <v>P206</v>
      </c>
      <c r="D206" s="19"/>
      <c r="E206" s="21"/>
      <c r="F206" s="22"/>
      <c r="G206" s="22"/>
      <c r="H206" s="22" t="str">
        <f t="shared" si="2"/>
        <v/>
      </c>
      <c r="I206" s="22">
        <f t="shared" si="3"/>
        <v>0</v>
      </c>
      <c r="J206" s="23" t="str">
        <f t="shared" si="4"/>
        <v/>
      </c>
      <c r="K206" s="22">
        <f t="shared" si="5"/>
        <v>0</v>
      </c>
      <c r="L206" s="22">
        <f t="shared" si="6"/>
        <v>0</v>
      </c>
      <c r="M206" s="23">
        <f t="shared" si="7"/>
        <v>0.0612</v>
      </c>
      <c r="N206" s="22">
        <f t="shared" si="8"/>
        <v>0</v>
      </c>
      <c r="O206" s="23">
        <f t="shared" si="9"/>
        <v>0.124</v>
      </c>
      <c r="P206" s="22">
        <f t="shared" si="10"/>
        <v>0</v>
      </c>
      <c r="Q206" s="20">
        <f>SUMIFS(Entradas!D:D,Entradas!B:B,B206,Entradas!C:C,C206) - SUMIFS(Vendas!E:E,Vendas!C:C,B206,Vendas!D:D,C206)</f>
        <v>0</v>
      </c>
    </row>
    <row r="207">
      <c r="A207" s="19" t="str">
        <f t="shared" si="1"/>
        <v>P207</v>
      </c>
      <c r="D207" s="19"/>
      <c r="E207" s="21"/>
      <c r="F207" s="22"/>
      <c r="G207" s="22"/>
      <c r="H207" s="22" t="str">
        <f t="shared" si="2"/>
        <v/>
      </c>
      <c r="I207" s="22">
        <f t="shared" si="3"/>
        <v>0</v>
      </c>
      <c r="J207" s="23" t="str">
        <f t="shared" si="4"/>
        <v/>
      </c>
      <c r="K207" s="22">
        <f t="shared" si="5"/>
        <v>0</v>
      </c>
      <c r="L207" s="22">
        <f t="shared" si="6"/>
        <v>0</v>
      </c>
      <c r="M207" s="23">
        <f t="shared" si="7"/>
        <v>0.0612</v>
      </c>
      <c r="N207" s="22">
        <f t="shared" si="8"/>
        <v>0</v>
      </c>
      <c r="O207" s="23">
        <f t="shared" si="9"/>
        <v>0.124</v>
      </c>
      <c r="P207" s="22">
        <f t="shared" si="10"/>
        <v>0</v>
      </c>
      <c r="Q207" s="20">
        <f>SUMIFS(Entradas!D:D,Entradas!B:B,B207,Entradas!C:C,C207) - SUMIFS(Vendas!E:E,Vendas!C:C,B207,Vendas!D:D,C207)</f>
        <v>0</v>
      </c>
    </row>
    <row r="208">
      <c r="A208" s="19" t="str">
        <f t="shared" si="1"/>
        <v>P208</v>
      </c>
      <c r="D208" s="19"/>
      <c r="E208" s="21"/>
      <c r="F208" s="22"/>
      <c r="G208" s="22"/>
      <c r="H208" s="22" t="str">
        <f t="shared" si="2"/>
        <v/>
      </c>
      <c r="I208" s="22">
        <f t="shared" si="3"/>
        <v>0</v>
      </c>
      <c r="J208" s="23" t="str">
        <f t="shared" si="4"/>
        <v/>
      </c>
      <c r="K208" s="22">
        <f t="shared" si="5"/>
        <v>0</v>
      </c>
      <c r="L208" s="22">
        <f t="shared" si="6"/>
        <v>0</v>
      </c>
      <c r="M208" s="23">
        <f t="shared" si="7"/>
        <v>0.0612</v>
      </c>
      <c r="N208" s="22">
        <f t="shared" si="8"/>
        <v>0</v>
      </c>
      <c r="O208" s="23">
        <f t="shared" si="9"/>
        <v>0.124</v>
      </c>
      <c r="P208" s="22">
        <f t="shared" si="10"/>
        <v>0</v>
      </c>
      <c r="Q208" s="20">
        <f>SUMIFS(Entradas!D:D,Entradas!B:B,B208,Entradas!C:C,C208) - SUMIFS(Vendas!E:E,Vendas!C:C,B208,Vendas!D:D,C208)</f>
        <v>0</v>
      </c>
    </row>
    <row r="209">
      <c r="A209" s="19" t="str">
        <f t="shared" si="1"/>
        <v>P209</v>
      </c>
      <c r="D209" s="19"/>
      <c r="E209" s="21"/>
      <c r="F209" s="22"/>
      <c r="G209" s="22"/>
      <c r="H209" s="22" t="str">
        <f t="shared" si="2"/>
        <v/>
      </c>
      <c r="I209" s="22">
        <f t="shared" si="3"/>
        <v>0</v>
      </c>
      <c r="J209" s="23" t="str">
        <f t="shared" si="4"/>
        <v/>
      </c>
      <c r="K209" s="22">
        <f t="shared" si="5"/>
        <v>0</v>
      </c>
      <c r="L209" s="22">
        <f t="shared" si="6"/>
        <v>0</v>
      </c>
      <c r="M209" s="23">
        <f t="shared" si="7"/>
        <v>0.0612</v>
      </c>
      <c r="N209" s="22">
        <f t="shared" si="8"/>
        <v>0</v>
      </c>
      <c r="O209" s="23">
        <f t="shared" si="9"/>
        <v>0.124</v>
      </c>
      <c r="P209" s="22">
        <f t="shared" si="10"/>
        <v>0</v>
      </c>
      <c r="Q209" s="20">
        <f>SUMIFS(Entradas!D:D,Entradas!B:B,B209,Entradas!C:C,C209) - SUMIFS(Vendas!E:E,Vendas!C:C,B209,Vendas!D:D,C209)</f>
        <v>0</v>
      </c>
    </row>
    <row r="210">
      <c r="A210" s="19" t="str">
        <f t="shared" si="1"/>
        <v>P210</v>
      </c>
      <c r="D210" s="19"/>
      <c r="E210" s="21"/>
      <c r="F210" s="22"/>
      <c r="G210" s="22"/>
      <c r="H210" s="22" t="str">
        <f t="shared" si="2"/>
        <v/>
      </c>
      <c r="I210" s="22">
        <f t="shared" si="3"/>
        <v>0</v>
      </c>
      <c r="J210" s="23" t="str">
        <f t="shared" si="4"/>
        <v/>
      </c>
      <c r="K210" s="22">
        <f t="shared" si="5"/>
        <v>0</v>
      </c>
      <c r="L210" s="22">
        <f t="shared" si="6"/>
        <v>0</v>
      </c>
      <c r="M210" s="23">
        <f t="shared" si="7"/>
        <v>0.0612</v>
      </c>
      <c r="N210" s="22">
        <f t="shared" si="8"/>
        <v>0</v>
      </c>
      <c r="O210" s="23">
        <f t="shared" si="9"/>
        <v>0.124</v>
      </c>
      <c r="P210" s="22">
        <f t="shared" si="10"/>
        <v>0</v>
      </c>
      <c r="Q210" s="20">
        <f>SUMIFS(Entradas!D:D,Entradas!B:B,B210,Entradas!C:C,C210) - SUMIFS(Vendas!E:E,Vendas!C:C,B210,Vendas!D:D,C210)</f>
        <v>0</v>
      </c>
    </row>
    <row r="211">
      <c r="A211" s="19" t="str">
        <f t="shared" si="1"/>
        <v>P211</v>
      </c>
      <c r="D211" s="19"/>
      <c r="E211" s="21"/>
      <c r="F211" s="22"/>
      <c r="G211" s="22"/>
      <c r="H211" s="22" t="str">
        <f t="shared" si="2"/>
        <v/>
      </c>
      <c r="I211" s="22">
        <f t="shared" si="3"/>
        <v>0</v>
      </c>
      <c r="J211" s="23" t="str">
        <f t="shared" si="4"/>
        <v/>
      </c>
      <c r="K211" s="22">
        <f t="shared" si="5"/>
        <v>0</v>
      </c>
      <c r="L211" s="22">
        <f t="shared" si="6"/>
        <v>0</v>
      </c>
      <c r="M211" s="23">
        <f t="shared" si="7"/>
        <v>0.0612</v>
      </c>
      <c r="N211" s="22">
        <f t="shared" si="8"/>
        <v>0</v>
      </c>
      <c r="O211" s="23">
        <f t="shared" si="9"/>
        <v>0.124</v>
      </c>
      <c r="P211" s="22">
        <f t="shared" si="10"/>
        <v>0</v>
      </c>
      <c r="Q211" s="20">
        <f>SUMIFS(Entradas!D:D,Entradas!B:B,B211,Entradas!C:C,C211) - SUMIFS(Vendas!E:E,Vendas!C:C,B211,Vendas!D:D,C211)</f>
        <v>0</v>
      </c>
    </row>
    <row r="212">
      <c r="A212" s="19" t="str">
        <f t="shared" si="1"/>
        <v>P212</v>
      </c>
      <c r="D212" s="19"/>
      <c r="E212" s="21"/>
      <c r="F212" s="22"/>
      <c r="G212" s="22"/>
      <c r="H212" s="22" t="str">
        <f t="shared" si="2"/>
        <v/>
      </c>
      <c r="I212" s="22">
        <f t="shared" si="3"/>
        <v>0</v>
      </c>
      <c r="J212" s="23" t="str">
        <f t="shared" si="4"/>
        <v/>
      </c>
      <c r="K212" s="22">
        <f t="shared" si="5"/>
        <v>0</v>
      </c>
      <c r="L212" s="22">
        <f t="shared" si="6"/>
        <v>0</v>
      </c>
      <c r="M212" s="23">
        <f t="shared" si="7"/>
        <v>0.0612</v>
      </c>
      <c r="N212" s="22">
        <f t="shared" si="8"/>
        <v>0</v>
      </c>
      <c r="O212" s="23">
        <f t="shared" si="9"/>
        <v>0.124</v>
      </c>
      <c r="P212" s="22">
        <f t="shared" si="10"/>
        <v>0</v>
      </c>
      <c r="Q212" s="20">
        <f>SUMIFS(Entradas!D:D,Entradas!B:B,B212,Entradas!C:C,C212) - SUMIFS(Vendas!E:E,Vendas!C:C,B212,Vendas!D:D,C212)</f>
        <v>0</v>
      </c>
    </row>
    <row r="213">
      <c r="A213" s="19" t="str">
        <f t="shared" si="1"/>
        <v>P213</v>
      </c>
      <c r="D213" s="19"/>
      <c r="E213" s="21"/>
      <c r="F213" s="22"/>
      <c r="G213" s="22"/>
      <c r="H213" s="22" t="str">
        <f t="shared" si="2"/>
        <v/>
      </c>
      <c r="I213" s="22">
        <f t="shared" si="3"/>
        <v>0</v>
      </c>
      <c r="J213" s="23" t="str">
        <f t="shared" si="4"/>
        <v/>
      </c>
      <c r="K213" s="22">
        <f t="shared" si="5"/>
        <v>0</v>
      </c>
      <c r="L213" s="22">
        <f t="shared" si="6"/>
        <v>0</v>
      </c>
      <c r="M213" s="23">
        <f t="shared" si="7"/>
        <v>0.0612</v>
      </c>
      <c r="N213" s="22">
        <f t="shared" si="8"/>
        <v>0</v>
      </c>
      <c r="O213" s="23">
        <f t="shared" si="9"/>
        <v>0.124</v>
      </c>
      <c r="P213" s="22">
        <f t="shared" si="10"/>
        <v>0</v>
      </c>
      <c r="Q213" s="20">
        <f>SUMIFS(Entradas!D:D,Entradas!B:B,B213,Entradas!C:C,C213) - SUMIFS(Vendas!E:E,Vendas!C:C,B213,Vendas!D:D,C213)</f>
        <v>0</v>
      </c>
    </row>
    <row r="214">
      <c r="A214" s="19" t="str">
        <f t="shared" si="1"/>
        <v>P214</v>
      </c>
      <c r="D214" s="19"/>
      <c r="E214" s="21"/>
      <c r="F214" s="22"/>
      <c r="G214" s="22"/>
      <c r="H214" s="22" t="str">
        <f t="shared" si="2"/>
        <v/>
      </c>
      <c r="I214" s="22">
        <f t="shared" si="3"/>
        <v>0</v>
      </c>
      <c r="J214" s="23" t="str">
        <f t="shared" si="4"/>
        <v/>
      </c>
      <c r="K214" s="22">
        <f t="shared" si="5"/>
        <v>0</v>
      </c>
      <c r="L214" s="22">
        <f t="shared" si="6"/>
        <v>0</v>
      </c>
      <c r="M214" s="23">
        <f t="shared" si="7"/>
        <v>0.0612</v>
      </c>
      <c r="N214" s="22">
        <f t="shared" si="8"/>
        <v>0</v>
      </c>
      <c r="O214" s="23">
        <f t="shared" si="9"/>
        <v>0.124</v>
      </c>
      <c r="P214" s="22">
        <f t="shared" si="10"/>
        <v>0</v>
      </c>
      <c r="Q214" s="20">
        <f>SUMIFS(Entradas!D:D,Entradas!B:B,B214,Entradas!C:C,C214) - SUMIFS(Vendas!E:E,Vendas!C:C,B214,Vendas!D:D,C214)</f>
        <v>0</v>
      </c>
    </row>
    <row r="215">
      <c r="A215" s="19" t="str">
        <f t="shared" si="1"/>
        <v>P215</v>
      </c>
      <c r="D215" s="19"/>
      <c r="E215" s="21"/>
      <c r="F215" s="22"/>
      <c r="G215" s="22"/>
      <c r="H215" s="22" t="str">
        <f t="shared" si="2"/>
        <v/>
      </c>
      <c r="I215" s="22">
        <f t="shared" si="3"/>
        <v>0</v>
      </c>
      <c r="J215" s="23" t="str">
        <f t="shared" si="4"/>
        <v/>
      </c>
      <c r="K215" s="22">
        <f t="shared" si="5"/>
        <v>0</v>
      </c>
      <c r="L215" s="22">
        <f t="shared" si="6"/>
        <v>0</v>
      </c>
      <c r="M215" s="23">
        <f t="shared" si="7"/>
        <v>0.0612</v>
      </c>
      <c r="N215" s="22">
        <f t="shared" si="8"/>
        <v>0</v>
      </c>
      <c r="O215" s="23">
        <f t="shared" si="9"/>
        <v>0.124</v>
      </c>
      <c r="P215" s="22">
        <f t="shared" si="10"/>
        <v>0</v>
      </c>
      <c r="Q215" s="20">
        <f>SUMIFS(Entradas!D:D,Entradas!B:B,B215,Entradas!C:C,C215) - SUMIFS(Vendas!E:E,Vendas!C:C,B215,Vendas!D:D,C215)</f>
        <v>0</v>
      </c>
    </row>
    <row r="216">
      <c r="A216" s="19" t="str">
        <f t="shared" si="1"/>
        <v>P216</v>
      </c>
      <c r="D216" s="19"/>
      <c r="E216" s="21"/>
      <c r="F216" s="22"/>
      <c r="G216" s="22"/>
      <c r="H216" s="22" t="str">
        <f t="shared" si="2"/>
        <v/>
      </c>
      <c r="I216" s="22">
        <f t="shared" si="3"/>
        <v>0</v>
      </c>
      <c r="J216" s="23" t="str">
        <f t="shared" si="4"/>
        <v/>
      </c>
      <c r="K216" s="22">
        <f t="shared" si="5"/>
        <v>0</v>
      </c>
      <c r="L216" s="22">
        <f t="shared" si="6"/>
        <v>0</v>
      </c>
      <c r="M216" s="23">
        <f t="shared" si="7"/>
        <v>0.0612</v>
      </c>
      <c r="N216" s="22">
        <f t="shared" si="8"/>
        <v>0</v>
      </c>
      <c r="O216" s="23">
        <f t="shared" si="9"/>
        <v>0.124</v>
      </c>
      <c r="P216" s="22">
        <f t="shared" si="10"/>
        <v>0</v>
      </c>
      <c r="Q216" s="20">
        <f>SUMIFS(Entradas!D:D,Entradas!B:B,B216,Entradas!C:C,C216) - SUMIFS(Vendas!E:E,Vendas!C:C,B216,Vendas!D:D,C216)</f>
        <v>0</v>
      </c>
    </row>
    <row r="217">
      <c r="A217" s="19" t="str">
        <f t="shared" si="1"/>
        <v>P217</v>
      </c>
      <c r="D217" s="19"/>
      <c r="E217" s="21"/>
      <c r="F217" s="22"/>
      <c r="G217" s="22"/>
      <c r="H217" s="22" t="str">
        <f t="shared" si="2"/>
        <v/>
      </c>
      <c r="I217" s="22">
        <f t="shared" si="3"/>
        <v>0</v>
      </c>
      <c r="J217" s="23" t="str">
        <f t="shared" si="4"/>
        <v/>
      </c>
      <c r="K217" s="22">
        <f t="shared" si="5"/>
        <v>0</v>
      </c>
      <c r="L217" s="22">
        <f t="shared" si="6"/>
        <v>0</v>
      </c>
      <c r="M217" s="23">
        <f t="shared" si="7"/>
        <v>0.0612</v>
      </c>
      <c r="N217" s="22">
        <f t="shared" si="8"/>
        <v>0</v>
      </c>
      <c r="O217" s="23">
        <f t="shared" si="9"/>
        <v>0.124</v>
      </c>
      <c r="P217" s="22">
        <f t="shared" si="10"/>
        <v>0</v>
      </c>
      <c r="Q217" s="20">
        <f>SUMIFS(Entradas!D:D,Entradas!B:B,B217,Entradas!C:C,C217) - SUMIFS(Vendas!E:E,Vendas!C:C,B217,Vendas!D:D,C217)</f>
        <v>0</v>
      </c>
    </row>
    <row r="218">
      <c r="A218" s="19" t="str">
        <f t="shared" si="1"/>
        <v>P218</v>
      </c>
      <c r="D218" s="19"/>
      <c r="E218" s="21"/>
      <c r="F218" s="22"/>
      <c r="G218" s="22"/>
      <c r="H218" s="22" t="str">
        <f t="shared" si="2"/>
        <v/>
      </c>
      <c r="I218" s="22">
        <f t="shared" si="3"/>
        <v>0</v>
      </c>
      <c r="J218" s="23" t="str">
        <f t="shared" si="4"/>
        <v/>
      </c>
      <c r="K218" s="22">
        <f t="shared" si="5"/>
        <v>0</v>
      </c>
      <c r="L218" s="22">
        <f t="shared" si="6"/>
        <v>0</v>
      </c>
      <c r="M218" s="23">
        <f t="shared" si="7"/>
        <v>0.0612</v>
      </c>
      <c r="N218" s="22">
        <f t="shared" si="8"/>
        <v>0</v>
      </c>
      <c r="O218" s="23">
        <f t="shared" si="9"/>
        <v>0.124</v>
      </c>
      <c r="P218" s="22">
        <f t="shared" si="10"/>
        <v>0</v>
      </c>
      <c r="Q218" s="20">
        <f>SUMIFS(Entradas!D:D,Entradas!B:B,B218,Entradas!C:C,C218) - SUMIFS(Vendas!E:E,Vendas!C:C,B218,Vendas!D:D,C218)</f>
        <v>0</v>
      </c>
    </row>
    <row r="219">
      <c r="A219" s="19" t="str">
        <f t="shared" si="1"/>
        <v>P219</v>
      </c>
      <c r="D219" s="19"/>
      <c r="E219" s="21"/>
      <c r="F219" s="22"/>
      <c r="G219" s="22"/>
      <c r="H219" s="22" t="str">
        <f t="shared" si="2"/>
        <v/>
      </c>
      <c r="I219" s="22">
        <f t="shared" si="3"/>
        <v>0</v>
      </c>
      <c r="J219" s="23" t="str">
        <f t="shared" si="4"/>
        <v/>
      </c>
      <c r="K219" s="22">
        <f t="shared" si="5"/>
        <v>0</v>
      </c>
      <c r="L219" s="22">
        <f t="shared" si="6"/>
        <v>0</v>
      </c>
      <c r="M219" s="23">
        <f t="shared" si="7"/>
        <v>0.0612</v>
      </c>
      <c r="N219" s="22">
        <f t="shared" si="8"/>
        <v>0</v>
      </c>
      <c r="O219" s="23">
        <f t="shared" si="9"/>
        <v>0.124</v>
      </c>
      <c r="P219" s="22">
        <f t="shared" si="10"/>
        <v>0</v>
      </c>
      <c r="Q219" s="20">
        <f>SUMIFS(Entradas!D:D,Entradas!B:B,B219,Entradas!C:C,C219) - SUMIFS(Vendas!E:E,Vendas!C:C,B219,Vendas!D:D,C219)</f>
        <v>0</v>
      </c>
    </row>
    <row r="220">
      <c r="A220" s="19" t="str">
        <f t="shared" si="1"/>
        <v>P220</v>
      </c>
      <c r="D220" s="19"/>
      <c r="E220" s="21"/>
      <c r="F220" s="22"/>
      <c r="G220" s="22"/>
      <c r="H220" s="22" t="str">
        <f t="shared" si="2"/>
        <v/>
      </c>
      <c r="I220" s="22">
        <f t="shared" si="3"/>
        <v>0</v>
      </c>
      <c r="J220" s="23" t="str">
        <f t="shared" si="4"/>
        <v/>
      </c>
      <c r="K220" s="22">
        <f t="shared" si="5"/>
        <v>0</v>
      </c>
      <c r="L220" s="22">
        <f t="shared" si="6"/>
        <v>0</v>
      </c>
      <c r="M220" s="23">
        <f t="shared" si="7"/>
        <v>0.0612</v>
      </c>
      <c r="N220" s="22">
        <f t="shared" si="8"/>
        <v>0</v>
      </c>
      <c r="O220" s="23">
        <f t="shared" si="9"/>
        <v>0.124</v>
      </c>
      <c r="P220" s="22">
        <f t="shared" si="10"/>
        <v>0</v>
      </c>
      <c r="Q220" s="20">
        <f>SUMIFS(Entradas!D:D,Entradas!B:B,B220,Entradas!C:C,C220) - SUMIFS(Vendas!E:E,Vendas!C:C,B220,Vendas!D:D,C220)</f>
        <v>0</v>
      </c>
    </row>
    <row r="221">
      <c r="A221" s="19" t="str">
        <f t="shared" si="1"/>
        <v>P221</v>
      </c>
      <c r="D221" s="19"/>
      <c r="E221" s="21"/>
      <c r="F221" s="22"/>
      <c r="G221" s="22"/>
      <c r="H221" s="22" t="str">
        <f t="shared" si="2"/>
        <v/>
      </c>
      <c r="I221" s="22">
        <f t="shared" si="3"/>
        <v>0</v>
      </c>
      <c r="J221" s="23" t="str">
        <f t="shared" si="4"/>
        <v/>
      </c>
      <c r="K221" s="22">
        <f t="shared" si="5"/>
        <v>0</v>
      </c>
      <c r="L221" s="22">
        <f t="shared" si="6"/>
        <v>0</v>
      </c>
      <c r="M221" s="23">
        <f t="shared" si="7"/>
        <v>0.0612</v>
      </c>
      <c r="N221" s="22">
        <f t="shared" si="8"/>
        <v>0</v>
      </c>
      <c r="O221" s="23">
        <f t="shared" si="9"/>
        <v>0.124</v>
      </c>
      <c r="P221" s="22">
        <f t="shared" si="10"/>
        <v>0</v>
      </c>
      <c r="Q221" s="20">
        <f>SUMIFS(Entradas!D:D,Entradas!B:B,B221,Entradas!C:C,C221) - SUMIFS(Vendas!E:E,Vendas!C:C,B221,Vendas!D:D,C221)</f>
        <v>0</v>
      </c>
    </row>
    <row r="222">
      <c r="A222" s="19" t="str">
        <f t="shared" si="1"/>
        <v>P222</v>
      </c>
      <c r="D222" s="19"/>
      <c r="E222" s="21"/>
      <c r="F222" s="22"/>
      <c r="G222" s="22"/>
      <c r="H222" s="22" t="str">
        <f t="shared" si="2"/>
        <v/>
      </c>
      <c r="I222" s="22">
        <f t="shared" si="3"/>
        <v>0</v>
      </c>
      <c r="J222" s="23" t="str">
        <f t="shared" si="4"/>
        <v/>
      </c>
      <c r="K222" s="22">
        <f t="shared" si="5"/>
        <v>0</v>
      </c>
      <c r="L222" s="22">
        <f t="shared" si="6"/>
        <v>0</v>
      </c>
      <c r="M222" s="23">
        <f t="shared" si="7"/>
        <v>0.0612</v>
      </c>
      <c r="N222" s="22">
        <f t="shared" si="8"/>
        <v>0</v>
      </c>
      <c r="O222" s="23">
        <f t="shared" si="9"/>
        <v>0.124</v>
      </c>
      <c r="P222" s="22">
        <f t="shared" si="10"/>
        <v>0</v>
      </c>
      <c r="Q222" s="20">
        <f>SUMIFS(Entradas!D:D,Entradas!B:B,B222,Entradas!C:C,C222) - SUMIFS(Vendas!E:E,Vendas!C:C,B222,Vendas!D:D,C222)</f>
        <v>0</v>
      </c>
    </row>
    <row r="223">
      <c r="A223" s="19" t="str">
        <f t="shared" si="1"/>
        <v>P223</v>
      </c>
      <c r="D223" s="19"/>
      <c r="E223" s="21"/>
      <c r="F223" s="22"/>
      <c r="G223" s="22"/>
      <c r="H223" s="22" t="str">
        <f t="shared" si="2"/>
        <v/>
      </c>
      <c r="I223" s="22">
        <f t="shared" si="3"/>
        <v>0</v>
      </c>
      <c r="J223" s="23" t="str">
        <f t="shared" si="4"/>
        <v/>
      </c>
      <c r="K223" s="22">
        <f t="shared" si="5"/>
        <v>0</v>
      </c>
      <c r="L223" s="22">
        <f t="shared" si="6"/>
        <v>0</v>
      </c>
      <c r="M223" s="23">
        <f t="shared" si="7"/>
        <v>0.0612</v>
      </c>
      <c r="N223" s="22">
        <f t="shared" si="8"/>
        <v>0</v>
      </c>
      <c r="O223" s="23">
        <f t="shared" si="9"/>
        <v>0.124</v>
      </c>
      <c r="P223" s="22">
        <f t="shared" si="10"/>
        <v>0</v>
      </c>
      <c r="Q223" s="20">
        <f>SUMIFS(Entradas!D:D,Entradas!B:B,B223,Entradas!C:C,C223) - SUMIFS(Vendas!E:E,Vendas!C:C,B223,Vendas!D:D,C223)</f>
        <v>0</v>
      </c>
    </row>
    <row r="224">
      <c r="A224" s="19" t="str">
        <f t="shared" si="1"/>
        <v>P224</v>
      </c>
      <c r="D224" s="19"/>
      <c r="E224" s="21"/>
      <c r="F224" s="22"/>
      <c r="G224" s="22"/>
      <c r="H224" s="22" t="str">
        <f t="shared" si="2"/>
        <v/>
      </c>
      <c r="I224" s="22">
        <f t="shared" si="3"/>
        <v>0</v>
      </c>
      <c r="J224" s="23" t="str">
        <f t="shared" si="4"/>
        <v/>
      </c>
      <c r="K224" s="22">
        <f t="shared" si="5"/>
        <v>0</v>
      </c>
      <c r="L224" s="22">
        <f t="shared" si="6"/>
        <v>0</v>
      </c>
      <c r="M224" s="23">
        <f t="shared" si="7"/>
        <v>0.0612</v>
      </c>
      <c r="N224" s="22">
        <f t="shared" si="8"/>
        <v>0</v>
      </c>
      <c r="O224" s="23">
        <f t="shared" si="9"/>
        <v>0.124</v>
      </c>
      <c r="P224" s="22">
        <f t="shared" si="10"/>
        <v>0</v>
      </c>
      <c r="Q224" s="20">
        <f>SUMIFS(Entradas!D:D,Entradas!B:B,B224,Entradas!C:C,C224) - SUMIFS(Vendas!E:E,Vendas!C:C,B224,Vendas!D:D,C224)</f>
        <v>0</v>
      </c>
    </row>
    <row r="225">
      <c r="A225" s="19" t="str">
        <f t="shared" si="1"/>
        <v>P225</v>
      </c>
      <c r="D225" s="19"/>
      <c r="E225" s="21"/>
      <c r="F225" s="22"/>
      <c r="G225" s="22"/>
      <c r="H225" s="22" t="str">
        <f t="shared" si="2"/>
        <v/>
      </c>
      <c r="I225" s="22">
        <f t="shared" si="3"/>
        <v>0</v>
      </c>
      <c r="J225" s="23" t="str">
        <f t="shared" si="4"/>
        <v/>
      </c>
      <c r="K225" s="22">
        <f t="shared" si="5"/>
        <v>0</v>
      </c>
      <c r="L225" s="22">
        <f t="shared" si="6"/>
        <v>0</v>
      </c>
      <c r="M225" s="23">
        <f t="shared" si="7"/>
        <v>0.0612</v>
      </c>
      <c r="N225" s="22">
        <f t="shared" si="8"/>
        <v>0</v>
      </c>
      <c r="O225" s="23">
        <f t="shared" si="9"/>
        <v>0.124</v>
      </c>
      <c r="P225" s="22">
        <f t="shared" si="10"/>
        <v>0</v>
      </c>
      <c r="Q225" s="20">
        <f>SUMIFS(Entradas!D:D,Entradas!B:B,B225,Entradas!C:C,C225) - SUMIFS(Vendas!E:E,Vendas!C:C,B225,Vendas!D:D,C225)</f>
        <v>0</v>
      </c>
    </row>
    <row r="226">
      <c r="A226" s="19" t="str">
        <f t="shared" si="1"/>
        <v>P226</v>
      </c>
      <c r="D226" s="19"/>
      <c r="E226" s="21"/>
      <c r="F226" s="22"/>
      <c r="G226" s="22"/>
      <c r="H226" s="22" t="str">
        <f t="shared" si="2"/>
        <v/>
      </c>
      <c r="I226" s="22">
        <f t="shared" si="3"/>
        <v>0</v>
      </c>
      <c r="J226" s="23" t="str">
        <f t="shared" si="4"/>
        <v/>
      </c>
      <c r="K226" s="22">
        <f t="shared" si="5"/>
        <v>0</v>
      </c>
      <c r="L226" s="22">
        <f t="shared" si="6"/>
        <v>0</v>
      </c>
      <c r="M226" s="23">
        <f t="shared" si="7"/>
        <v>0.0612</v>
      </c>
      <c r="N226" s="22">
        <f t="shared" si="8"/>
        <v>0</v>
      </c>
      <c r="O226" s="23">
        <f t="shared" si="9"/>
        <v>0.124</v>
      </c>
      <c r="P226" s="22">
        <f t="shared" si="10"/>
        <v>0</v>
      </c>
      <c r="Q226" s="20">
        <f>SUMIFS(Entradas!D:D,Entradas!B:B,B226,Entradas!C:C,C226) - SUMIFS(Vendas!E:E,Vendas!C:C,B226,Vendas!D:D,C226)</f>
        <v>0</v>
      </c>
    </row>
    <row r="227">
      <c r="A227" s="19" t="str">
        <f t="shared" si="1"/>
        <v>P227</v>
      </c>
      <c r="D227" s="19"/>
      <c r="E227" s="21"/>
      <c r="F227" s="22"/>
      <c r="G227" s="22"/>
      <c r="H227" s="22" t="str">
        <f t="shared" si="2"/>
        <v/>
      </c>
      <c r="I227" s="22">
        <f t="shared" si="3"/>
        <v>0</v>
      </c>
      <c r="J227" s="23" t="str">
        <f t="shared" si="4"/>
        <v/>
      </c>
      <c r="K227" s="22">
        <f t="shared" si="5"/>
        <v>0</v>
      </c>
      <c r="L227" s="22">
        <f t="shared" si="6"/>
        <v>0</v>
      </c>
      <c r="M227" s="23">
        <f t="shared" si="7"/>
        <v>0.0612</v>
      </c>
      <c r="N227" s="22">
        <f t="shared" si="8"/>
        <v>0</v>
      </c>
      <c r="O227" s="23">
        <f t="shared" si="9"/>
        <v>0.124</v>
      </c>
      <c r="P227" s="22">
        <f t="shared" si="10"/>
        <v>0</v>
      </c>
      <c r="Q227" s="20">
        <f>SUMIFS(Entradas!D:D,Entradas!B:B,B227,Entradas!C:C,C227) - SUMIFS(Vendas!E:E,Vendas!C:C,B227,Vendas!D:D,C227)</f>
        <v>0</v>
      </c>
    </row>
    <row r="228">
      <c r="A228" s="19" t="str">
        <f t="shared" si="1"/>
        <v>P228</v>
      </c>
      <c r="D228" s="19"/>
      <c r="E228" s="21"/>
      <c r="F228" s="22"/>
      <c r="G228" s="22"/>
      <c r="H228" s="22" t="str">
        <f t="shared" si="2"/>
        <v/>
      </c>
      <c r="I228" s="22">
        <f t="shared" si="3"/>
        <v>0</v>
      </c>
      <c r="J228" s="23" t="str">
        <f t="shared" si="4"/>
        <v/>
      </c>
      <c r="K228" s="22">
        <f t="shared" si="5"/>
        <v>0</v>
      </c>
      <c r="L228" s="22">
        <f t="shared" si="6"/>
        <v>0</v>
      </c>
      <c r="M228" s="23">
        <f t="shared" si="7"/>
        <v>0.0612</v>
      </c>
      <c r="N228" s="22">
        <f t="shared" si="8"/>
        <v>0</v>
      </c>
      <c r="O228" s="23">
        <f t="shared" si="9"/>
        <v>0.124</v>
      </c>
      <c r="P228" s="22">
        <f t="shared" si="10"/>
        <v>0</v>
      </c>
      <c r="Q228" s="20">
        <f>SUMIFS(Entradas!D:D,Entradas!B:B,B228,Entradas!C:C,C228) - SUMIFS(Vendas!E:E,Vendas!C:C,B228,Vendas!D:D,C228)</f>
        <v>0</v>
      </c>
    </row>
    <row r="229">
      <c r="A229" s="19" t="str">
        <f t="shared" si="1"/>
        <v>P229</v>
      </c>
      <c r="D229" s="19"/>
      <c r="E229" s="21"/>
      <c r="F229" s="22"/>
      <c r="G229" s="22"/>
      <c r="H229" s="22" t="str">
        <f t="shared" si="2"/>
        <v/>
      </c>
      <c r="I229" s="22">
        <f t="shared" si="3"/>
        <v>0</v>
      </c>
      <c r="J229" s="23" t="str">
        <f t="shared" si="4"/>
        <v/>
      </c>
      <c r="K229" s="22">
        <f t="shared" si="5"/>
        <v>0</v>
      </c>
      <c r="L229" s="22">
        <f t="shared" si="6"/>
        <v>0</v>
      </c>
      <c r="M229" s="23">
        <f t="shared" si="7"/>
        <v>0.0612</v>
      </c>
      <c r="N229" s="22">
        <f t="shared" si="8"/>
        <v>0</v>
      </c>
      <c r="O229" s="23">
        <f t="shared" si="9"/>
        <v>0.124</v>
      </c>
      <c r="P229" s="22">
        <f t="shared" si="10"/>
        <v>0</v>
      </c>
      <c r="Q229" s="20">
        <f>SUMIFS(Entradas!D:D,Entradas!B:B,B229,Entradas!C:C,C229) - SUMIFS(Vendas!E:E,Vendas!C:C,B229,Vendas!D:D,C229)</f>
        <v>0</v>
      </c>
    </row>
    <row r="230">
      <c r="A230" s="19" t="str">
        <f t="shared" si="1"/>
        <v>P230</v>
      </c>
      <c r="D230" s="19"/>
      <c r="E230" s="21"/>
      <c r="F230" s="22"/>
      <c r="G230" s="22"/>
      <c r="H230" s="22" t="str">
        <f t="shared" si="2"/>
        <v/>
      </c>
      <c r="I230" s="22">
        <f t="shared" si="3"/>
        <v>0</v>
      </c>
      <c r="J230" s="23" t="str">
        <f t="shared" si="4"/>
        <v/>
      </c>
      <c r="K230" s="22">
        <f t="shared" si="5"/>
        <v>0</v>
      </c>
      <c r="L230" s="22">
        <f t="shared" si="6"/>
        <v>0</v>
      </c>
      <c r="M230" s="23">
        <f t="shared" si="7"/>
        <v>0.0612</v>
      </c>
      <c r="N230" s="22">
        <f t="shared" si="8"/>
        <v>0</v>
      </c>
      <c r="O230" s="23">
        <f t="shared" si="9"/>
        <v>0.124</v>
      </c>
      <c r="P230" s="22">
        <f t="shared" si="10"/>
        <v>0</v>
      </c>
      <c r="Q230" s="20">
        <f>SUMIFS(Entradas!D:D,Entradas!B:B,B230,Entradas!C:C,C230) - SUMIFS(Vendas!E:E,Vendas!C:C,B230,Vendas!D:D,C230)</f>
        <v>0</v>
      </c>
    </row>
    <row r="231">
      <c r="A231" s="19" t="str">
        <f t="shared" si="1"/>
        <v>P231</v>
      </c>
      <c r="D231" s="19"/>
      <c r="E231" s="21"/>
      <c r="F231" s="22"/>
      <c r="G231" s="22"/>
      <c r="H231" s="22" t="str">
        <f t="shared" si="2"/>
        <v/>
      </c>
      <c r="I231" s="22">
        <f t="shared" si="3"/>
        <v>0</v>
      </c>
      <c r="J231" s="23" t="str">
        <f t="shared" si="4"/>
        <v/>
      </c>
      <c r="K231" s="22">
        <f t="shared" si="5"/>
        <v>0</v>
      </c>
      <c r="L231" s="22">
        <f t="shared" si="6"/>
        <v>0</v>
      </c>
      <c r="M231" s="23">
        <f t="shared" si="7"/>
        <v>0.0612</v>
      </c>
      <c r="N231" s="22">
        <f t="shared" si="8"/>
        <v>0</v>
      </c>
      <c r="O231" s="23">
        <f t="shared" si="9"/>
        <v>0.124</v>
      </c>
      <c r="P231" s="22">
        <f t="shared" si="10"/>
        <v>0</v>
      </c>
      <c r="Q231" s="20">
        <f>SUMIFS(Entradas!D:D,Entradas!B:B,B231,Entradas!C:C,C231) - SUMIFS(Vendas!E:E,Vendas!C:C,B231,Vendas!D:D,C231)</f>
        <v>0</v>
      </c>
    </row>
    <row r="232">
      <c r="A232" s="19" t="str">
        <f t="shared" si="1"/>
        <v>P232</v>
      </c>
      <c r="D232" s="19"/>
      <c r="E232" s="21"/>
      <c r="F232" s="22"/>
      <c r="G232" s="22"/>
      <c r="H232" s="22" t="str">
        <f t="shared" si="2"/>
        <v/>
      </c>
      <c r="I232" s="22">
        <f t="shared" si="3"/>
        <v>0</v>
      </c>
      <c r="J232" s="23" t="str">
        <f t="shared" si="4"/>
        <v/>
      </c>
      <c r="K232" s="22">
        <f t="shared" si="5"/>
        <v>0</v>
      </c>
      <c r="L232" s="22">
        <f t="shared" si="6"/>
        <v>0</v>
      </c>
      <c r="M232" s="23">
        <f t="shared" si="7"/>
        <v>0.0612</v>
      </c>
      <c r="N232" s="22">
        <f t="shared" si="8"/>
        <v>0</v>
      </c>
      <c r="O232" s="23">
        <f t="shared" si="9"/>
        <v>0.124</v>
      </c>
      <c r="P232" s="22">
        <f t="shared" si="10"/>
        <v>0</v>
      </c>
      <c r="Q232" s="20">
        <f>SUMIFS(Entradas!D:D,Entradas!B:B,B232,Entradas!C:C,C232) - SUMIFS(Vendas!E:E,Vendas!C:C,B232,Vendas!D:D,C232)</f>
        <v>0</v>
      </c>
    </row>
    <row r="233">
      <c r="A233" s="19" t="str">
        <f t="shared" si="1"/>
        <v>P233</v>
      </c>
      <c r="D233" s="19"/>
      <c r="E233" s="21"/>
      <c r="F233" s="22"/>
      <c r="G233" s="22"/>
      <c r="H233" s="22" t="str">
        <f t="shared" si="2"/>
        <v/>
      </c>
      <c r="I233" s="22">
        <f t="shared" si="3"/>
        <v>0</v>
      </c>
      <c r="J233" s="23" t="str">
        <f t="shared" si="4"/>
        <v/>
      </c>
      <c r="K233" s="22">
        <f t="shared" si="5"/>
        <v>0</v>
      </c>
      <c r="L233" s="22">
        <f t="shared" si="6"/>
        <v>0</v>
      </c>
      <c r="M233" s="23">
        <f t="shared" si="7"/>
        <v>0.0612</v>
      </c>
      <c r="N233" s="22">
        <f t="shared" si="8"/>
        <v>0</v>
      </c>
      <c r="O233" s="23">
        <f t="shared" si="9"/>
        <v>0.124</v>
      </c>
      <c r="P233" s="22">
        <f t="shared" si="10"/>
        <v>0</v>
      </c>
      <c r="Q233" s="20">
        <f>SUMIFS(Entradas!D:D,Entradas!B:B,B233,Entradas!C:C,C233) - SUMIFS(Vendas!E:E,Vendas!C:C,B233,Vendas!D:D,C233)</f>
        <v>0</v>
      </c>
    </row>
    <row r="234">
      <c r="A234" s="19" t="str">
        <f t="shared" si="1"/>
        <v>P234</v>
      </c>
      <c r="D234" s="19"/>
      <c r="E234" s="21"/>
      <c r="F234" s="22"/>
      <c r="G234" s="22"/>
      <c r="H234" s="22" t="str">
        <f t="shared" si="2"/>
        <v/>
      </c>
      <c r="I234" s="22">
        <f t="shared" si="3"/>
        <v>0</v>
      </c>
      <c r="J234" s="23" t="str">
        <f t="shared" si="4"/>
        <v/>
      </c>
      <c r="K234" s="22">
        <f t="shared" si="5"/>
        <v>0</v>
      </c>
      <c r="L234" s="22">
        <f t="shared" si="6"/>
        <v>0</v>
      </c>
      <c r="M234" s="23">
        <f t="shared" si="7"/>
        <v>0.0612</v>
      </c>
      <c r="N234" s="22">
        <f t="shared" si="8"/>
        <v>0</v>
      </c>
      <c r="O234" s="23">
        <f t="shared" si="9"/>
        <v>0.124</v>
      </c>
      <c r="P234" s="22">
        <f t="shared" si="10"/>
        <v>0</v>
      </c>
      <c r="Q234" s="20">
        <f>SUMIFS(Entradas!D:D,Entradas!B:B,B234,Entradas!C:C,C234) - SUMIFS(Vendas!E:E,Vendas!C:C,B234,Vendas!D:D,C234)</f>
        <v>0</v>
      </c>
    </row>
    <row r="235">
      <c r="A235" s="19" t="str">
        <f t="shared" si="1"/>
        <v>P235</v>
      </c>
      <c r="D235" s="19"/>
      <c r="E235" s="21"/>
      <c r="F235" s="22"/>
      <c r="G235" s="22"/>
      <c r="H235" s="22" t="str">
        <f t="shared" si="2"/>
        <v/>
      </c>
      <c r="I235" s="22">
        <f t="shared" si="3"/>
        <v>0</v>
      </c>
      <c r="J235" s="23" t="str">
        <f t="shared" si="4"/>
        <v/>
      </c>
      <c r="K235" s="22">
        <f t="shared" si="5"/>
        <v>0</v>
      </c>
      <c r="L235" s="22">
        <f t="shared" si="6"/>
        <v>0</v>
      </c>
      <c r="M235" s="23">
        <f t="shared" si="7"/>
        <v>0.0612</v>
      </c>
      <c r="N235" s="22">
        <f t="shared" si="8"/>
        <v>0</v>
      </c>
      <c r="O235" s="23">
        <f t="shared" si="9"/>
        <v>0.124</v>
      </c>
      <c r="P235" s="22">
        <f t="shared" si="10"/>
        <v>0</v>
      </c>
      <c r="Q235" s="20">
        <f>SUMIFS(Entradas!D:D,Entradas!B:B,B235,Entradas!C:C,C235) - SUMIFS(Vendas!E:E,Vendas!C:C,B235,Vendas!D:D,C235)</f>
        <v>0</v>
      </c>
    </row>
    <row r="236">
      <c r="A236" s="19" t="str">
        <f t="shared" si="1"/>
        <v>P236</v>
      </c>
      <c r="D236" s="19"/>
      <c r="E236" s="21"/>
      <c r="F236" s="22"/>
      <c r="G236" s="22"/>
      <c r="H236" s="22" t="str">
        <f t="shared" si="2"/>
        <v/>
      </c>
      <c r="I236" s="22">
        <f t="shared" si="3"/>
        <v>0</v>
      </c>
      <c r="J236" s="23" t="str">
        <f t="shared" si="4"/>
        <v/>
      </c>
      <c r="K236" s="22">
        <f t="shared" si="5"/>
        <v>0</v>
      </c>
      <c r="L236" s="22">
        <f t="shared" si="6"/>
        <v>0</v>
      </c>
      <c r="M236" s="23">
        <f t="shared" si="7"/>
        <v>0.0612</v>
      </c>
      <c r="N236" s="22">
        <f t="shared" si="8"/>
        <v>0</v>
      </c>
      <c r="O236" s="23">
        <f t="shared" si="9"/>
        <v>0.124</v>
      </c>
      <c r="P236" s="22">
        <f t="shared" si="10"/>
        <v>0</v>
      </c>
      <c r="Q236" s="20">
        <f>SUMIFS(Entradas!D:D,Entradas!B:B,B236,Entradas!C:C,C236) - SUMIFS(Vendas!E:E,Vendas!C:C,B236,Vendas!D:D,C236)</f>
        <v>0</v>
      </c>
    </row>
    <row r="237">
      <c r="A237" s="19" t="str">
        <f t="shared" si="1"/>
        <v>P237</v>
      </c>
      <c r="D237" s="19"/>
      <c r="E237" s="21"/>
      <c r="F237" s="22"/>
      <c r="G237" s="22"/>
      <c r="H237" s="22" t="str">
        <f t="shared" si="2"/>
        <v/>
      </c>
      <c r="I237" s="22">
        <f t="shared" si="3"/>
        <v>0</v>
      </c>
      <c r="J237" s="23" t="str">
        <f t="shared" si="4"/>
        <v/>
      </c>
      <c r="K237" s="22">
        <f t="shared" si="5"/>
        <v>0</v>
      </c>
      <c r="L237" s="22">
        <f t="shared" si="6"/>
        <v>0</v>
      </c>
      <c r="M237" s="23">
        <f t="shared" si="7"/>
        <v>0.0612</v>
      </c>
      <c r="N237" s="22">
        <f t="shared" si="8"/>
        <v>0</v>
      </c>
      <c r="O237" s="23">
        <f t="shared" si="9"/>
        <v>0.124</v>
      </c>
      <c r="P237" s="22">
        <f t="shared" si="10"/>
        <v>0</v>
      </c>
      <c r="Q237" s="20">
        <f>SUMIFS(Entradas!D:D,Entradas!B:B,B237,Entradas!C:C,C237) - SUMIFS(Vendas!E:E,Vendas!C:C,B237,Vendas!D:D,C237)</f>
        <v>0</v>
      </c>
    </row>
    <row r="238">
      <c r="A238" s="19" t="str">
        <f t="shared" si="1"/>
        <v>P238</v>
      </c>
      <c r="D238" s="19"/>
      <c r="E238" s="21"/>
      <c r="F238" s="22"/>
      <c r="G238" s="22"/>
      <c r="H238" s="22" t="str">
        <f t="shared" si="2"/>
        <v/>
      </c>
      <c r="I238" s="22">
        <f t="shared" si="3"/>
        <v>0</v>
      </c>
      <c r="J238" s="23" t="str">
        <f t="shared" si="4"/>
        <v/>
      </c>
      <c r="K238" s="22">
        <f t="shared" si="5"/>
        <v>0</v>
      </c>
      <c r="L238" s="22">
        <f t="shared" si="6"/>
        <v>0</v>
      </c>
      <c r="M238" s="23">
        <f t="shared" si="7"/>
        <v>0.0612</v>
      </c>
      <c r="N238" s="22">
        <f t="shared" si="8"/>
        <v>0</v>
      </c>
      <c r="O238" s="23">
        <f t="shared" si="9"/>
        <v>0.124</v>
      </c>
      <c r="P238" s="22">
        <f t="shared" si="10"/>
        <v>0</v>
      </c>
      <c r="Q238" s="20">
        <f>SUMIFS(Entradas!D:D,Entradas!B:B,B238,Entradas!C:C,C238) - SUMIFS(Vendas!E:E,Vendas!C:C,B238,Vendas!D:D,C238)</f>
        <v>0</v>
      </c>
    </row>
    <row r="239">
      <c r="A239" s="19" t="str">
        <f t="shared" si="1"/>
        <v>P239</v>
      </c>
      <c r="D239" s="19"/>
      <c r="E239" s="21"/>
      <c r="F239" s="22"/>
      <c r="G239" s="22"/>
      <c r="H239" s="22" t="str">
        <f t="shared" si="2"/>
        <v/>
      </c>
      <c r="I239" s="22">
        <f t="shared" si="3"/>
        <v>0</v>
      </c>
      <c r="J239" s="23" t="str">
        <f t="shared" si="4"/>
        <v/>
      </c>
      <c r="K239" s="22">
        <f t="shared" si="5"/>
        <v>0</v>
      </c>
      <c r="L239" s="22">
        <f t="shared" si="6"/>
        <v>0</v>
      </c>
      <c r="M239" s="23">
        <f t="shared" si="7"/>
        <v>0.0612</v>
      </c>
      <c r="N239" s="22">
        <f t="shared" si="8"/>
        <v>0</v>
      </c>
      <c r="O239" s="23">
        <f t="shared" si="9"/>
        <v>0.124</v>
      </c>
      <c r="P239" s="22">
        <f t="shared" si="10"/>
        <v>0</v>
      </c>
      <c r="Q239" s="20">
        <f>SUMIFS(Entradas!D:D,Entradas!B:B,B239,Entradas!C:C,C239) - SUMIFS(Vendas!E:E,Vendas!C:C,B239,Vendas!D:D,C239)</f>
        <v>0</v>
      </c>
    </row>
    <row r="240">
      <c r="A240" s="19" t="str">
        <f t="shared" si="1"/>
        <v>P240</v>
      </c>
      <c r="D240" s="19"/>
      <c r="E240" s="21"/>
      <c r="F240" s="22"/>
      <c r="G240" s="22"/>
      <c r="H240" s="22" t="str">
        <f t="shared" si="2"/>
        <v/>
      </c>
      <c r="I240" s="22">
        <f t="shared" si="3"/>
        <v>0</v>
      </c>
      <c r="J240" s="23" t="str">
        <f t="shared" si="4"/>
        <v/>
      </c>
      <c r="K240" s="22">
        <f t="shared" si="5"/>
        <v>0</v>
      </c>
      <c r="L240" s="22">
        <f t="shared" si="6"/>
        <v>0</v>
      </c>
      <c r="M240" s="23">
        <f t="shared" si="7"/>
        <v>0.0612</v>
      </c>
      <c r="N240" s="22">
        <f t="shared" si="8"/>
        <v>0</v>
      </c>
      <c r="O240" s="23">
        <f t="shared" si="9"/>
        <v>0.124</v>
      </c>
      <c r="P240" s="22">
        <f t="shared" si="10"/>
        <v>0</v>
      </c>
      <c r="Q240" s="20">
        <f>SUMIFS(Entradas!D:D,Entradas!B:B,B240,Entradas!C:C,C240) - SUMIFS(Vendas!E:E,Vendas!C:C,B240,Vendas!D:D,C240)</f>
        <v>0</v>
      </c>
    </row>
    <row r="241">
      <c r="A241" s="19" t="str">
        <f t="shared" si="1"/>
        <v>P241</v>
      </c>
      <c r="D241" s="19"/>
      <c r="E241" s="21"/>
      <c r="F241" s="22"/>
      <c r="G241" s="22"/>
      <c r="H241" s="22" t="str">
        <f t="shared" si="2"/>
        <v/>
      </c>
      <c r="I241" s="22">
        <f t="shared" si="3"/>
        <v>0</v>
      </c>
      <c r="J241" s="23" t="str">
        <f t="shared" si="4"/>
        <v/>
      </c>
      <c r="K241" s="22">
        <f t="shared" si="5"/>
        <v>0</v>
      </c>
      <c r="L241" s="22">
        <f t="shared" si="6"/>
        <v>0</v>
      </c>
      <c r="M241" s="23">
        <f t="shared" si="7"/>
        <v>0.0612</v>
      </c>
      <c r="N241" s="22">
        <f t="shared" si="8"/>
        <v>0</v>
      </c>
      <c r="O241" s="23">
        <f t="shared" si="9"/>
        <v>0.124</v>
      </c>
      <c r="P241" s="22">
        <f t="shared" si="10"/>
        <v>0</v>
      </c>
      <c r="Q241" s="20">
        <f>SUMIFS(Entradas!D:D,Entradas!B:B,B241,Entradas!C:C,C241) - SUMIFS(Vendas!E:E,Vendas!C:C,B241,Vendas!D:D,C241)</f>
        <v>0</v>
      </c>
    </row>
    <row r="242">
      <c r="A242" s="19" t="str">
        <f t="shared" si="1"/>
        <v>P242</v>
      </c>
      <c r="D242" s="19"/>
      <c r="E242" s="21"/>
      <c r="F242" s="22"/>
      <c r="G242" s="22"/>
      <c r="H242" s="22" t="str">
        <f t="shared" si="2"/>
        <v/>
      </c>
      <c r="I242" s="22">
        <f t="shared" si="3"/>
        <v>0</v>
      </c>
      <c r="J242" s="23" t="str">
        <f t="shared" si="4"/>
        <v/>
      </c>
      <c r="K242" s="22">
        <f t="shared" si="5"/>
        <v>0</v>
      </c>
      <c r="L242" s="22">
        <f t="shared" si="6"/>
        <v>0</v>
      </c>
      <c r="M242" s="23">
        <f t="shared" si="7"/>
        <v>0.0612</v>
      </c>
      <c r="N242" s="22">
        <f t="shared" si="8"/>
        <v>0</v>
      </c>
      <c r="O242" s="23">
        <f t="shared" si="9"/>
        <v>0.124</v>
      </c>
      <c r="P242" s="22">
        <f t="shared" si="10"/>
        <v>0</v>
      </c>
      <c r="Q242" s="20">
        <f>SUMIFS(Entradas!D:D,Entradas!B:B,B242,Entradas!C:C,C242) - SUMIFS(Vendas!E:E,Vendas!C:C,B242,Vendas!D:D,C242)</f>
        <v>0</v>
      </c>
    </row>
    <row r="243">
      <c r="A243" s="19" t="str">
        <f t="shared" si="1"/>
        <v>P243</v>
      </c>
      <c r="D243" s="19"/>
      <c r="E243" s="21"/>
      <c r="F243" s="22"/>
      <c r="G243" s="22"/>
      <c r="H243" s="22" t="str">
        <f t="shared" si="2"/>
        <v/>
      </c>
      <c r="I243" s="22">
        <f t="shared" si="3"/>
        <v>0</v>
      </c>
      <c r="J243" s="23" t="str">
        <f t="shared" si="4"/>
        <v/>
      </c>
      <c r="K243" s="22">
        <f t="shared" si="5"/>
        <v>0</v>
      </c>
      <c r="L243" s="22">
        <f t="shared" si="6"/>
        <v>0</v>
      </c>
      <c r="M243" s="23">
        <f t="shared" si="7"/>
        <v>0.0612</v>
      </c>
      <c r="N243" s="22">
        <f t="shared" si="8"/>
        <v>0</v>
      </c>
      <c r="O243" s="23">
        <f t="shared" si="9"/>
        <v>0.124</v>
      </c>
      <c r="P243" s="22">
        <f t="shared" si="10"/>
        <v>0</v>
      </c>
      <c r="Q243" s="20">
        <f>SUMIFS(Entradas!D:D,Entradas!B:B,B243,Entradas!C:C,C243) - SUMIFS(Vendas!E:E,Vendas!C:C,B243,Vendas!D:D,C243)</f>
        <v>0</v>
      </c>
    </row>
    <row r="244">
      <c r="A244" s="19" t="str">
        <f t="shared" si="1"/>
        <v>P244</v>
      </c>
      <c r="D244" s="19"/>
      <c r="E244" s="21"/>
      <c r="F244" s="22"/>
      <c r="G244" s="22"/>
      <c r="H244" s="22" t="str">
        <f t="shared" si="2"/>
        <v/>
      </c>
      <c r="I244" s="22">
        <f t="shared" si="3"/>
        <v>0</v>
      </c>
      <c r="J244" s="23" t="str">
        <f t="shared" si="4"/>
        <v/>
      </c>
      <c r="K244" s="22">
        <f t="shared" si="5"/>
        <v>0</v>
      </c>
      <c r="L244" s="22">
        <f t="shared" si="6"/>
        <v>0</v>
      </c>
      <c r="M244" s="23">
        <f t="shared" si="7"/>
        <v>0.0612</v>
      </c>
      <c r="N244" s="22">
        <f t="shared" si="8"/>
        <v>0</v>
      </c>
      <c r="O244" s="23">
        <f t="shared" si="9"/>
        <v>0.124</v>
      </c>
      <c r="P244" s="22">
        <f t="shared" si="10"/>
        <v>0</v>
      </c>
      <c r="Q244" s="20">
        <f>SUMIFS(Entradas!D:D,Entradas!B:B,B244,Entradas!C:C,C244) - SUMIFS(Vendas!E:E,Vendas!C:C,B244,Vendas!D:D,C244)</f>
        <v>0</v>
      </c>
    </row>
    <row r="245">
      <c r="A245" s="19" t="str">
        <f t="shared" si="1"/>
        <v>P245</v>
      </c>
      <c r="D245" s="19"/>
      <c r="E245" s="21"/>
      <c r="F245" s="22"/>
      <c r="G245" s="22"/>
      <c r="H245" s="22" t="str">
        <f t="shared" si="2"/>
        <v/>
      </c>
      <c r="I245" s="22">
        <f t="shared" si="3"/>
        <v>0</v>
      </c>
      <c r="J245" s="23" t="str">
        <f t="shared" si="4"/>
        <v/>
      </c>
      <c r="K245" s="22">
        <f t="shared" si="5"/>
        <v>0</v>
      </c>
      <c r="L245" s="22">
        <f t="shared" si="6"/>
        <v>0</v>
      </c>
      <c r="M245" s="23">
        <f t="shared" si="7"/>
        <v>0.0612</v>
      </c>
      <c r="N245" s="22">
        <f t="shared" si="8"/>
        <v>0</v>
      </c>
      <c r="O245" s="23">
        <f t="shared" si="9"/>
        <v>0.124</v>
      </c>
      <c r="P245" s="22">
        <f t="shared" si="10"/>
        <v>0</v>
      </c>
      <c r="Q245" s="20">
        <f>SUMIFS(Entradas!D:D,Entradas!B:B,B245,Entradas!C:C,C245) - SUMIFS(Vendas!E:E,Vendas!C:C,B245,Vendas!D:D,C245)</f>
        <v>0</v>
      </c>
    </row>
    <row r="246">
      <c r="A246" s="19" t="str">
        <f t="shared" si="1"/>
        <v>P246</v>
      </c>
      <c r="D246" s="19"/>
      <c r="E246" s="21"/>
      <c r="F246" s="22"/>
      <c r="G246" s="22"/>
      <c r="H246" s="22" t="str">
        <f t="shared" si="2"/>
        <v/>
      </c>
      <c r="I246" s="22">
        <f t="shared" si="3"/>
        <v>0</v>
      </c>
      <c r="J246" s="23" t="str">
        <f t="shared" si="4"/>
        <v/>
      </c>
      <c r="K246" s="22">
        <f t="shared" si="5"/>
        <v>0</v>
      </c>
      <c r="L246" s="22">
        <f t="shared" si="6"/>
        <v>0</v>
      </c>
      <c r="M246" s="23">
        <f t="shared" si="7"/>
        <v>0.0612</v>
      </c>
      <c r="N246" s="22">
        <f t="shared" si="8"/>
        <v>0</v>
      </c>
      <c r="O246" s="23">
        <f t="shared" si="9"/>
        <v>0.124</v>
      </c>
      <c r="P246" s="22">
        <f t="shared" si="10"/>
        <v>0</v>
      </c>
      <c r="Q246" s="20">
        <f>SUMIFS(Entradas!D:D,Entradas!B:B,B246,Entradas!C:C,C246) - SUMIFS(Vendas!E:E,Vendas!C:C,B246,Vendas!D:D,C246)</f>
        <v>0</v>
      </c>
    </row>
    <row r="247">
      <c r="A247" s="19" t="str">
        <f t="shared" si="1"/>
        <v>P247</v>
      </c>
      <c r="D247" s="19"/>
      <c r="E247" s="21"/>
      <c r="F247" s="22"/>
      <c r="G247" s="22"/>
      <c r="H247" s="22" t="str">
        <f t="shared" si="2"/>
        <v/>
      </c>
      <c r="I247" s="22">
        <f t="shared" si="3"/>
        <v>0</v>
      </c>
      <c r="J247" s="23" t="str">
        <f t="shared" si="4"/>
        <v/>
      </c>
      <c r="K247" s="22">
        <f t="shared" si="5"/>
        <v>0</v>
      </c>
      <c r="L247" s="22">
        <f t="shared" si="6"/>
        <v>0</v>
      </c>
      <c r="M247" s="23">
        <f t="shared" si="7"/>
        <v>0.0612</v>
      </c>
      <c r="N247" s="22">
        <f t="shared" si="8"/>
        <v>0</v>
      </c>
      <c r="O247" s="23">
        <f t="shared" si="9"/>
        <v>0.124</v>
      </c>
      <c r="P247" s="22">
        <f t="shared" si="10"/>
        <v>0</v>
      </c>
      <c r="Q247" s="20">
        <f>SUMIFS(Entradas!D:D,Entradas!B:B,B247,Entradas!C:C,C247) - SUMIFS(Vendas!E:E,Vendas!C:C,B247,Vendas!D:D,C247)</f>
        <v>0</v>
      </c>
    </row>
    <row r="248">
      <c r="A248" s="19" t="str">
        <f t="shared" si="1"/>
        <v>P248</v>
      </c>
      <c r="D248" s="19"/>
      <c r="E248" s="21"/>
      <c r="F248" s="22"/>
      <c r="G248" s="22"/>
      <c r="H248" s="22" t="str">
        <f t="shared" si="2"/>
        <v/>
      </c>
      <c r="I248" s="22">
        <f t="shared" si="3"/>
        <v>0</v>
      </c>
      <c r="J248" s="23" t="str">
        <f t="shared" si="4"/>
        <v/>
      </c>
      <c r="K248" s="22">
        <f t="shared" si="5"/>
        <v>0</v>
      </c>
      <c r="L248" s="22">
        <f t="shared" si="6"/>
        <v>0</v>
      </c>
      <c r="M248" s="23">
        <f t="shared" si="7"/>
        <v>0.0612</v>
      </c>
      <c r="N248" s="22">
        <f t="shared" si="8"/>
        <v>0</v>
      </c>
      <c r="O248" s="23">
        <f t="shared" si="9"/>
        <v>0.124</v>
      </c>
      <c r="P248" s="22">
        <f t="shared" si="10"/>
        <v>0</v>
      </c>
      <c r="Q248" s="20">
        <f>SUMIFS(Entradas!D:D,Entradas!B:B,B248,Entradas!C:C,C248) - SUMIFS(Vendas!E:E,Vendas!C:C,B248,Vendas!D:D,C248)</f>
        <v>0</v>
      </c>
    </row>
    <row r="249">
      <c r="A249" s="19" t="str">
        <f t="shared" si="1"/>
        <v>P249</v>
      </c>
      <c r="D249" s="19"/>
      <c r="E249" s="21"/>
      <c r="F249" s="22"/>
      <c r="G249" s="22"/>
      <c r="H249" s="22" t="str">
        <f t="shared" si="2"/>
        <v/>
      </c>
      <c r="I249" s="22">
        <f t="shared" si="3"/>
        <v>0</v>
      </c>
      <c r="J249" s="23" t="str">
        <f t="shared" si="4"/>
        <v/>
      </c>
      <c r="K249" s="22">
        <f t="shared" si="5"/>
        <v>0</v>
      </c>
      <c r="L249" s="22">
        <f t="shared" si="6"/>
        <v>0</v>
      </c>
      <c r="M249" s="23">
        <f t="shared" si="7"/>
        <v>0.0612</v>
      </c>
      <c r="N249" s="22">
        <f t="shared" si="8"/>
        <v>0</v>
      </c>
      <c r="O249" s="23">
        <f t="shared" si="9"/>
        <v>0.124</v>
      </c>
      <c r="P249" s="22">
        <f t="shared" si="10"/>
        <v>0</v>
      </c>
      <c r="Q249" s="20">
        <f>SUMIFS(Entradas!D:D,Entradas!B:B,B249,Entradas!C:C,C249) - SUMIFS(Vendas!E:E,Vendas!C:C,B249,Vendas!D:D,C249)</f>
        <v>0</v>
      </c>
    </row>
    <row r="250">
      <c r="A250" s="19" t="str">
        <f t="shared" si="1"/>
        <v>P250</v>
      </c>
      <c r="D250" s="19"/>
      <c r="E250" s="21"/>
      <c r="F250" s="22"/>
      <c r="G250" s="22"/>
      <c r="H250" s="22" t="str">
        <f t="shared" si="2"/>
        <v/>
      </c>
      <c r="I250" s="22">
        <f t="shared" si="3"/>
        <v>0</v>
      </c>
      <c r="J250" s="23" t="str">
        <f t="shared" si="4"/>
        <v/>
      </c>
      <c r="K250" s="22">
        <f t="shared" si="5"/>
        <v>0</v>
      </c>
      <c r="L250" s="22">
        <f t="shared" si="6"/>
        <v>0</v>
      </c>
      <c r="M250" s="23">
        <f t="shared" si="7"/>
        <v>0.0612</v>
      </c>
      <c r="N250" s="22">
        <f t="shared" si="8"/>
        <v>0</v>
      </c>
      <c r="O250" s="23">
        <f t="shared" si="9"/>
        <v>0.124</v>
      </c>
      <c r="P250" s="22">
        <f t="shared" si="10"/>
        <v>0</v>
      </c>
      <c r="Q250" s="20">
        <f>SUMIFS(Entradas!D:D,Entradas!B:B,B250,Entradas!C:C,C250) - SUMIFS(Vendas!E:E,Vendas!C:C,B250,Vendas!D:D,C250)</f>
        <v>0</v>
      </c>
    </row>
    <row r="251">
      <c r="A251" s="19" t="str">
        <f t="shared" si="1"/>
        <v>P251</v>
      </c>
      <c r="D251" s="19"/>
      <c r="E251" s="21"/>
      <c r="F251" s="22"/>
      <c r="G251" s="22"/>
      <c r="H251" s="22" t="str">
        <f t="shared" si="2"/>
        <v/>
      </c>
      <c r="I251" s="22">
        <f t="shared" si="3"/>
        <v>0</v>
      </c>
      <c r="J251" s="23" t="str">
        <f t="shared" si="4"/>
        <v/>
      </c>
      <c r="K251" s="22">
        <f t="shared" si="5"/>
        <v>0</v>
      </c>
      <c r="L251" s="22">
        <f t="shared" si="6"/>
        <v>0</v>
      </c>
      <c r="M251" s="23">
        <f t="shared" si="7"/>
        <v>0.0612</v>
      </c>
      <c r="N251" s="22">
        <f t="shared" si="8"/>
        <v>0</v>
      </c>
      <c r="O251" s="23">
        <f t="shared" si="9"/>
        <v>0.124</v>
      </c>
      <c r="P251" s="22">
        <f t="shared" si="10"/>
        <v>0</v>
      </c>
      <c r="Q251" s="20">
        <f>SUMIFS(Entradas!D:D,Entradas!B:B,B251,Entradas!C:C,C251) - SUMIFS(Vendas!E:E,Vendas!C:C,B251,Vendas!D:D,C251)</f>
        <v>0</v>
      </c>
    </row>
    <row r="252">
      <c r="A252" s="19" t="str">
        <f t="shared" si="1"/>
        <v>P252</v>
      </c>
      <c r="D252" s="19"/>
      <c r="E252" s="21"/>
      <c r="F252" s="22"/>
      <c r="G252" s="22"/>
      <c r="H252" s="22" t="str">
        <f t="shared" si="2"/>
        <v/>
      </c>
      <c r="I252" s="22">
        <f t="shared" si="3"/>
        <v>0</v>
      </c>
      <c r="J252" s="23" t="str">
        <f t="shared" si="4"/>
        <v/>
      </c>
      <c r="K252" s="22">
        <f t="shared" si="5"/>
        <v>0</v>
      </c>
      <c r="L252" s="22">
        <f t="shared" si="6"/>
        <v>0</v>
      </c>
      <c r="M252" s="23">
        <f t="shared" si="7"/>
        <v>0.0612</v>
      </c>
      <c r="N252" s="22">
        <f t="shared" si="8"/>
        <v>0</v>
      </c>
      <c r="O252" s="23">
        <f t="shared" si="9"/>
        <v>0.124</v>
      </c>
      <c r="P252" s="22">
        <f t="shared" si="10"/>
        <v>0</v>
      </c>
      <c r="Q252" s="20">
        <f>SUMIFS(Entradas!D:D,Entradas!B:B,B252,Entradas!C:C,C252) - SUMIFS(Vendas!E:E,Vendas!C:C,B252,Vendas!D:D,C252)</f>
        <v>0</v>
      </c>
    </row>
    <row r="253">
      <c r="A253" s="19" t="str">
        <f t="shared" si="1"/>
        <v>P253</v>
      </c>
      <c r="D253" s="19"/>
      <c r="E253" s="21"/>
      <c r="F253" s="22"/>
      <c r="G253" s="22"/>
      <c r="H253" s="22" t="str">
        <f t="shared" si="2"/>
        <v/>
      </c>
      <c r="I253" s="22">
        <f t="shared" si="3"/>
        <v>0</v>
      </c>
      <c r="J253" s="23" t="str">
        <f t="shared" si="4"/>
        <v/>
      </c>
      <c r="K253" s="22">
        <f t="shared" si="5"/>
        <v>0</v>
      </c>
      <c r="L253" s="22">
        <f t="shared" si="6"/>
        <v>0</v>
      </c>
      <c r="M253" s="23">
        <f t="shared" si="7"/>
        <v>0.0612</v>
      </c>
      <c r="N253" s="22">
        <f t="shared" si="8"/>
        <v>0</v>
      </c>
      <c r="O253" s="23">
        <f t="shared" si="9"/>
        <v>0.124</v>
      </c>
      <c r="P253" s="22">
        <f t="shared" si="10"/>
        <v>0</v>
      </c>
      <c r="Q253" s="20">
        <f>SUMIFS(Entradas!D:D,Entradas!B:B,B253,Entradas!C:C,C253) - SUMIFS(Vendas!E:E,Vendas!C:C,B253,Vendas!D:D,C253)</f>
        <v>0</v>
      </c>
    </row>
    <row r="254">
      <c r="A254" s="19" t="str">
        <f t="shared" si="1"/>
        <v>P254</v>
      </c>
      <c r="D254" s="19"/>
      <c r="E254" s="21"/>
      <c r="F254" s="22"/>
      <c r="G254" s="22"/>
      <c r="H254" s="22" t="str">
        <f t="shared" si="2"/>
        <v/>
      </c>
      <c r="I254" s="22">
        <f t="shared" si="3"/>
        <v>0</v>
      </c>
      <c r="J254" s="23" t="str">
        <f t="shared" si="4"/>
        <v/>
      </c>
      <c r="K254" s="22">
        <f t="shared" si="5"/>
        <v>0</v>
      </c>
      <c r="L254" s="22">
        <f t="shared" si="6"/>
        <v>0</v>
      </c>
      <c r="M254" s="23">
        <f t="shared" si="7"/>
        <v>0.0612</v>
      </c>
      <c r="N254" s="22">
        <f t="shared" si="8"/>
        <v>0</v>
      </c>
      <c r="O254" s="23">
        <f t="shared" si="9"/>
        <v>0.124</v>
      </c>
      <c r="P254" s="22">
        <f t="shared" si="10"/>
        <v>0</v>
      </c>
      <c r="Q254" s="20">
        <f>SUMIFS(Entradas!D:D,Entradas!B:B,B254,Entradas!C:C,C254) - SUMIFS(Vendas!E:E,Vendas!C:C,B254,Vendas!D:D,C254)</f>
        <v>0</v>
      </c>
    </row>
    <row r="255">
      <c r="A255" s="19" t="str">
        <f t="shared" si="1"/>
        <v>P255</v>
      </c>
      <c r="D255" s="19"/>
      <c r="E255" s="21"/>
      <c r="F255" s="22"/>
      <c r="G255" s="22"/>
      <c r="H255" s="22" t="str">
        <f t="shared" si="2"/>
        <v/>
      </c>
      <c r="I255" s="22">
        <f t="shared" si="3"/>
        <v>0</v>
      </c>
      <c r="J255" s="23" t="str">
        <f t="shared" si="4"/>
        <v/>
      </c>
      <c r="K255" s="22">
        <f t="shared" si="5"/>
        <v>0</v>
      </c>
      <c r="L255" s="22">
        <f t="shared" si="6"/>
        <v>0</v>
      </c>
      <c r="M255" s="23">
        <f t="shared" si="7"/>
        <v>0.0612</v>
      </c>
      <c r="N255" s="22">
        <f t="shared" si="8"/>
        <v>0</v>
      </c>
      <c r="O255" s="23">
        <f t="shared" si="9"/>
        <v>0.124</v>
      </c>
      <c r="P255" s="22">
        <f t="shared" si="10"/>
        <v>0</v>
      </c>
      <c r="Q255" s="20">
        <f>SUMIFS(Entradas!D:D,Entradas!B:B,B255,Entradas!C:C,C255) - SUMIFS(Vendas!E:E,Vendas!C:C,B255,Vendas!D:D,C255)</f>
        <v>0</v>
      </c>
    </row>
    <row r="256">
      <c r="A256" s="19" t="str">
        <f t="shared" si="1"/>
        <v>P256</v>
      </c>
      <c r="D256" s="19"/>
      <c r="E256" s="21"/>
      <c r="F256" s="22"/>
      <c r="G256" s="22"/>
      <c r="H256" s="22" t="str">
        <f t="shared" si="2"/>
        <v/>
      </c>
      <c r="I256" s="22">
        <f t="shared" si="3"/>
        <v>0</v>
      </c>
      <c r="J256" s="23" t="str">
        <f t="shared" si="4"/>
        <v/>
      </c>
      <c r="K256" s="22">
        <f t="shared" si="5"/>
        <v>0</v>
      </c>
      <c r="L256" s="22">
        <f t="shared" si="6"/>
        <v>0</v>
      </c>
      <c r="M256" s="23">
        <f t="shared" si="7"/>
        <v>0.0612</v>
      </c>
      <c r="N256" s="22">
        <f t="shared" si="8"/>
        <v>0</v>
      </c>
      <c r="O256" s="23">
        <f t="shared" si="9"/>
        <v>0.124</v>
      </c>
      <c r="P256" s="22">
        <f t="shared" si="10"/>
        <v>0</v>
      </c>
      <c r="Q256" s="20">
        <f>SUMIFS(Entradas!D:D,Entradas!B:B,B256,Entradas!C:C,C256) - SUMIFS(Vendas!E:E,Vendas!C:C,B256,Vendas!D:D,C256)</f>
        <v>0</v>
      </c>
    </row>
    <row r="257">
      <c r="A257" s="19" t="str">
        <f t="shared" si="1"/>
        <v>P257</v>
      </c>
      <c r="D257" s="19"/>
      <c r="E257" s="21"/>
      <c r="F257" s="22"/>
      <c r="G257" s="22"/>
      <c r="H257" s="22" t="str">
        <f t="shared" si="2"/>
        <v/>
      </c>
      <c r="I257" s="22">
        <f t="shared" si="3"/>
        <v>0</v>
      </c>
      <c r="J257" s="23" t="str">
        <f t="shared" si="4"/>
        <v/>
      </c>
      <c r="K257" s="22">
        <f t="shared" si="5"/>
        <v>0</v>
      </c>
      <c r="L257" s="22">
        <f t="shared" si="6"/>
        <v>0</v>
      </c>
      <c r="M257" s="23">
        <f t="shared" si="7"/>
        <v>0.0612</v>
      </c>
      <c r="N257" s="22">
        <f t="shared" si="8"/>
        <v>0</v>
      </c>
      <c r="O257" s="23">
        <f t="shared" si="9"/>
        <v>0.124</v>
      </c>
      <c r="P257" s="22">
        <f t="shared" si="10"/>
        <v>0</v>
      </c>
      <c r="Q257" s="20">
        <f>SUMIFS(Entradas!D:D,Entradas!B:B,B257,Entradas!C:C,C257) - SUMIFS(Vendas!E:E,Vendas!C:C,B257,Vendas!D:D,C257)</f>
        <v>0</v>
      </c>
    </row>
    <row r="258">
      <c r="A258" s="19" t="str">
        <f t="shared" si="1"/>
        <v>P258</v>
      </c>
      <c r="D258" s="19"/>
      <c r="E258" s="21"/>
      <c r="F258" s="22"/>
      <c r="G258" s="22"/>
      <c r="H258" s="22" t="str">
        <f t="shared" si="2"/>
        <v/>
      </c>
      <c r="I258" s="22">
        <f t="shared" si="3"/>
        <v>0</v>
      </c>
      <c r="J258" s="23" t="str">
        <f t="shared" si="4"/>
        <v/>
      </c>
      <c r="K258" s="22">
        <f t="shared" si="5"/>
        <v>0</v>
      </c>
      <c r="L258" s="22">
        <f t="shared" si="6"/>
        <v>0</v>
      </c>
      <c r="M258" s="23">
        <f t="shared" si="7"/>
        <v>0.0612</v>
      </c>
      <c r="N258" s="22">
        <f t="shared" si="8"/>
        <v>0</v>
      </c>
      <c r="O258" s="23">
        <f t="shared" si="9"/>
        <v>0.124</v>
      </c>
      <c r="P258" s="22">
        <f t="shared" si="10"/>
        <v>0</v>
      </c>
      <c r="Q258" s="20">
        <f>SUMIFS(Entradas!D:D,Entradas!B:B,B258,Entradas!C:C,C258) - SUMIFS(Vendas!E:E,Vendas!C:C,B258,Vendas!D:D,C258)</f>
        <v>0</v>
      </c>
    </row>
    <row r="259">
      <c r="A259" s="19" t="str">
        <f t="shared" si="1"/>
        <v>P259</v>
      </c>
      <c r="D259" s="19"/>
      <c r="E259" s="21"/>
      <c r="F259" s="22"/>
      <c r="G259" s="22"/>
      <c r="H259" s="22" t="str">
        <f t="shared" si="2"/>
        <v/>
      </c>
      <c r="I259" s="22">
        <f t="shared" si="3"/>
        <v>0</v>
      </c>
      <c r="J259" s="23" t="str">
        <f t="shared" si="4"/>
        <v/>
      </c>
      <c r="K259" s="22">
        <f t="shared" si="5"/>
        <v>0</v>
      </c>
      <c r="L259" s="22">
        <f t="shared" si="6"/>
        <v>0</v>
      </c>
      <c r="M259" s="23">
        <f t="shared" si="7"/>
        <v>0.0612</v>
      </c>
      <c r="N259" s="22">
        <f t="shared" si="8"/>
        <v>0</v>
      </c>
      <c r="O259" s="23">
        <f t="shared" si="9"/>
        <v>0.124</v>
      </c>
      <c r="P259" s="22">
        <f t="shared" si="10"/>
        <v>0</v>
      </c>
      <c r="Q259" s="20">
        <f>SUMIFS(Entradas!D:D,Entradas!B:B,B259,Entradas!C:C,C259) - SUMIFS(Vendas!E:E,Vendas!C:C,B259,Vendas!D:D,C259)</f>
        <v>0</v>
      </c>
    </row>
    <row r="260">
      <c r="A260" s="19" t="str">
        <f t="shared" si="1"/>
        <v>P260</v>
      </c>
      <c r="D260" s="19"/>
      <c r="E260" s="21"/>
      <c r="F260" s="22"/>
      <c r="G260" s="22"/>
      <c r="H260" s="22" t="str">
        <f t="shared" si="2"/>
        <v/>
      </c>
      <c r="I260" s="22">
        <f t="shared" si="3"/>
        <v>0</v>
      </c>
      <c r="J260" s="23" t="str">
        <f t="shared" si="4"/>
        <v/>
      </c>
      <c r="K260" s="22">
        <f t="shared" si="5"/>
        <v>0</v>
      </c>
      <c r="L260" s="22">
        <f t="shared" si="6"/>
        <v>0</v>
      </c>
      <c r="M260" s="23">
        <f t="shared" si="7"/>
        <v>0.0612</v>
      </c>
      <c r="N260" s="22">
        <f t="shared" si="8"/>
        <v>0</v>
      </c>
      <c r="O260" s="23">
        <f t="shared" si="9"/>
        <v>0.124</v>
      </c>
      <c r="P260" s="22">
        <f t="shared" si="10"/>
        <v>0</v>
      </c>
      <c r="Q260" s="20">
        <f>SUMIFS(Entradas!D:D,Entradas!B:B,B260,Entradas!C:C,C260) - SUMIFS(Vendas!E:E,Vendas!C:C,B260,Vendas!D:D,C260)</f>
        <v>0</v>
      </c>
    </row>
    <row r="261">
      <c r="A261" s="19" t="str">
        <f t="shared" si="1"/>
        <v>P261</v>
      </c>
      <c r="D261" s="19"/>
      <c r="E261" s="21"/>
      <c r="F261" s="22"/>
      <c r="G261" s="22"/>
      <c r="H261" s="22" t="str">
        <f t="shared" si="2"/>
        <v/>
      </c>
      <c r="I261" s="22">
        <f t="shared" si="3"/>
        <v>0</v>
      </c>
      <c r="J261" s="23" t="str">
        <f t="shared" si="4"/>
        <v/>
      </c>
      <c r="K261" s="22">
        <f t="shared" si="5"/>
        <v>0</v>
      </c>
      <c r="L261" s="22">
        <f t="shared" si="6"/>
        <v>0</v>
      </c>
      <c r="M261" s="23">
        <f t="shared" si="7"/>
        <v>0.0612</v>
      </c>
      <c r="N261" s="22">
        <f t="shared" si="8"/>
        <v>0</v>
      </c>
      <c r="O261" s="23">
        <f t="shared" si="9"/>
        <v>0.124</v>
      </c>
      <c r="P261" s="22">
        <f t="shared" si="10"/>
        <v>0</v>
      </c>
      <c r="Q261" s="20">
        <f>SUMIFS(Entradas!D:D,Entradas!B:B,B261,Entradas!C:C,C261) - SUMIFS(Vendas!E:E,Vendas!C:C,B261,Vendas!D:D,C261)</f>
        <v>0</v>
      </c>
    </row>
    <row r="262">
      <c r="A262" s="19" t="str">
        <f t="shared" si="1"/>
        <v>P262</v>
      </c>
      <c r="D262" s="19"/>
      <c r="E262" s="21"/>
      <c r="F262" s="22"/>
      <c r="G262" s="22"/>
      <c r="H262" s="22" t="str">
        <f t="shared" si="2"/>
        <v/>
      </c>
      <c r="I262" s="22">
        <f t="shared" si="3"/>
        <v>0</v>
      </c>
      <c r="J262" s="23" t="str">
        <f t="shared" si="4"/>
        <v/>
      </c>
      <c r="K262" s="22">
        <f t="shared" si="5"/>
        <v>0</v>
      </c>
      <c r="L262" s="22">
        <f t="shared" si="6"/>
        <v>0</v>
      </c>
      <c r="M262" s="23">
        <f t="shared" si="7"/>
        <v>0.0612</v>
      </c>
      <c r="N262" s="22">
        <f t="shared" si="8"/>
        <v>0</v>
      </c>
      <c r="O262" s="23">
        <f t="shared" si="9"/>
        <v>0.124</v>
      </c>
      <c r="P262" s="22">
        <f t="shared" si="10"/>
        <v>0</v>
      </c>
      <c r="Q262" s="20">
        <f>SUMIFS(Entradas!D:D,Entradas!B:B,B262,Entradas!C:C,C262) - SUMIFS(Vendas!E:E,Vendas!C:C,B262,Vendas!D:D,C262)</f>
        <v>0</v>
      </c>
    </row>
    <row r="263">
      <c r="A263" s="19" t="str">
        <f t="shared" si="1"/>
        <v>P263</v>
      </c>
      <c r="D263" s="19"/>
      <c r="E263" s="21"/>
      <c r="F263" s="22"/>
      <c r="G263" s="22"/>
      <c r="H263" s="22" t="str">
        <f t="shared" si="2"/>
        <v/>
      </c>
      <c r="I263" s="22">
        <f t="shared" si="3"/>
        <v>0</v>
      </c>
      <c r="J263" s="23" t="str">
        <f t="shared" si="4"/>
        <v/>
      </c>
      <c r="K263" s="22">
        <f t="shared" si="5"/>
        <v>0</v>
      </c>
      <c r="L263" s="22">
        <f t="shared" si="6"/>
        <v>0</v>
      </c>
      <c r="M263" s="23">
        <f t="shared" si="7"/>
        <v>0.0612</v>
      </c>
      <c r="N263" s="22">
        <f t="shared" si="8"/>
        <v>0</v>
      </c>
      <c r="O263" s="23">
        <f t="shared" si="9"/>
        <v>0.124</v>
      </c>
      <c r="P263" s="22">
        <f t="shared" si="10"/>
        <v>0</v>
      </c>
      <c r="Q263" s="20">
        <f>SUMIFS(Entradas!D:D,Entradas!B:B,B263,Entradas!C:C,C263) - SUMIFS(Vendas!E:E,Vendas!C:C,B263,Vendas!D:D,C263)</f>
        <v>0</v>
      </c>
    </row>
    <row r="264">
      <c r="A264" s="19" t="str">
        <f t="shared" si="1"/>
        <v>P264</v>
      </c>
      <c r="D264" s="19"/>
      <c r="E264" s="21"/>
      <c r="F264" s="22"/>
      <c r="G264" s="22"/>
      <c r="H264" s="22" t="str">
        <f t="shared" si="2"/>
        <v/>
      </c>
      <c r="I264" s="22">
        <f t="shared" si="3"/>
        <v>0</v>
      </c>
      <c r="J264" s="23" t="str">
        <f t="shared" si="4"/>
        <v/>
      </c>
      <c r="K264" s="22">
        <f t="shared" si="5"/>
        <v>0</v>
      </c>
      <c r="L264" s="22">
        <f t="shared" si="6"/>
        <v>0</v>
      </c>
      <c r="M264" s="23">
        <f t="shared" si="7"/>
        <v>0.0612</v>
      </c>
      <c r="N264" s="22">
        <f t="shared" si="8"/>
        <v>0</v>
      </c>
      <c r="O264" s="23">
        <f t="shared" si="9"/>
        <v>0.124</v>
      </c>
      <c r="P264" s="22">
        <f t="shared" si="10"/>
        <v>0</v>
      </c>
      <c r="Q264" s="20">
        <f>SUMIFS(Entradas!D:D,Entradas!B:B,B264,Entradas!C:C,C264) - SUMIFS(Vendas!E:E,Vendas!C:C,B264,Vendas!D:D,C264)</f>
        <v>0</v>
      </c>
    </row>
    <row r="265">
      <c r="A265" s="19" t="str">
        <f t="shared" si="1"/>
        <v>P265</v>
      </c>
      <c r="D265" s="19"/>
      <c r="E265" s="21"/>
      <c r="F265" s="22"/>
      <c r="G265" s="22"/>
      <c r="H265" s="22" t="str">
        <f t="shared" si="2"/>
        <v/>
      </c>
      <c r="I265" s="22">
        <f t="shared" si="3"/>
        <v>0</v>
      </c>
      <c r="J265" s="23" t="str">
        <f t="shared" si="4"/>
        <v/>
      </c>
      <c r="K265" s="22">
        <f t="shared" si="5"/>
        <v>0</v>
      </c>
      <c r="L265" s="22">
        <f t="shared" si="6"/>
        <v>0</v>
      </c>
      <c r="M265" s="23">
        <f t="shared" si="7"/>
        <v>0.0612</v>
      </c>
      <c r="N265" s="22">
        <f t="shared" si="8"/>
        <v>0</v>
      </c>
      <c r="O265" s="23">
        <f t="shared" si="9"/>
        <v>0.124</v>
      </c>
      <c r="P265" s="22">
        <f t="shared" si="10"/>
        <v>0</v>
      </c>
      <c r="Q265" s="20">
        <f>SUMIFS(Entradas!D:D,Entradas!B:B,B265,Entradas!C:C,C265) - SUMIFS(Vendas!E:E,Vendas!C:C,B265,Vendas!D:D,C265)</f>
        <v>0</v>
      </c>
    </row>
    <row r="266">
      <c r="A266" s="19" t="str">
        <f t="shared" si="1"/>
        <v>P266</v>
      </c>
      <c r="D266" s="19"/>
      <c r="E266" s="21"/>
      <c r="F266" s="22"/>
      <c r="G266" s="22"/>
      <c r="H266" s="22" t="str">
        <f t="shared" si="2"/>
        <v/>
      </c>
      <c r="I266" s="22">
        <f t="shared" si="3"/>
        <v>0</v>
      </c>
      <c r="J266" s="23" t="str">
        <f t="shared" si="4"/>
        <v/>
      </c>
      <c r="K266" s="22">
        <f t="shared" si="5"/>
        <v>0</v>
      </c>
      <c r="L266" s="22">
        <f t="shared" si="6"/>
        <v>0</v>
      </c>
      <c r="M266" s="23">
        <f t="shared" si="7"/>
        <v>0.0612</v>
      </c>
      <c r="N266" s="22">
        <f t="shared" si="8"/>
        <v>0</v>
      </c>
      <c r="O266" s="23">
        <f t="shared" si="9"/>
        <v>0.124</v>
      </c>
      <c r="P266" s="22">
        <f t="shared" si="10"/>
        <v>0</v>
      </c>
      <c r="Q266" s="20">
        <f>SUMIFS(Entradas!D:D,Entradas!B:B,B266,Entradas!C:C,C266) - SUMIFS(Vendas!E:E,Vendas!C:C,B266,Vendas!D:D,C266)</f>
        <v>0</v>
      </c>
    </row>
    <row r="267">
      <c r="A267" s="19" t="str">
        <f t="shared" si="1"/>
        <v>P267</v>
      </c>
      <c r="D267" s="19"/>
      <c r="E267" s="21"/>
      <c r="F267" s="22"/>
      <c r="G267" s="22"/>
      <c r="H267" s="22" t="str">
        <f t="shared" si="2"/>
        <v/>
      </c>
      <c r="I267" s="22">
        <f t="shared" si="3"/>
        <v>0</v>
      </c>
      <c r="J267" s="23" t="str">
        <f t="shared" si="4"/>
        <v/>
      </c>
      <c r="K267" s="22">
        <f t="shared" si="5"/>
        <v>0</v>
      </c>
      <c r="L267" s="22">
        <f t="shared" si="6"/>
        <v>0</v>
      </c>
      <c r="M267" s="23">
        <f t="shared" si="7"/>
        <v>0.0612</v>
      </c>
      <c r="N267" s="22">
        <f t="shared" si="8"/>
        <v>0</v>
      </c>
      <c r="O267" s="23">
        <f t="shared" si="9"/>
        <v>0.124</v>
      </c>
      <c r="P267" s="22">
        <f t="shared" si="10"/>
        <v>0</v>
      </c>
      <c r="Q267" s="20">
        <f>SUMIFS(Entradas!D:D,Entradas!B:B,B267,Entradas!C:C,C267) - SUMIFS(Vendas!E:E,Vendas!C:C,B267,Vendas!D:D,C267)</f>
        <v>0</v>
      </c>
    </row>
    <row r="268">
      <c r="A268" s="19" t="str">
        <f t="shared" si="1"/>
        <v>P268</v>
      </c>
      <c r="D268" s="19"/>
      <c r="E268" s="21"/>
      <c r="F268" s="22"/>
      <c r="G268" s="22"/>
      <c r="H268" s="22" t="str">
        <f t="shared" si="2"/>
        <v/>
      </c>
      <c r="I268" s="22">
        <f t="shared" si="3"/>
        <v>0</v>
      </c>
      <c r="J268" s="23" t="str">
        <f t="shared" si="4"/>
        <v/>
      </c>
      <c r="K268" s="22">
        <f t="shared" si="5"/>
        <v>0</v>
      </c>
      <c r="L268" s="22">
        <f t="shared" si="6"/>
        <v>0</v>
      </c>
      <c r="M268" s="23">
        <f t="shared" si="7"/>
        <v>0.0612</v>
      </c>
      <c r="N268" s="22">
        <f t="shared" si="8"/>
        <v>0</v>
      </c>
      <c r="O268" s="23">
        <f t="shared" si="9"/>
        <v>0.124</v>
      </c>
      <c r="P268" s="22">
        <f t="shared" si="10"/>
        <v>0</v>
      </c>
      <c r="Q268" s="20">
        <f>SUMIFS(Entradas!D:D,Entradas!B:B,B268,Entradas!C:C,C268) - SUMIFS(Vendas!E:E,Vendas!C:C,B268,Vendas!D:D,C268)</f>
        <v>0</v>
      </c>
    </row>
    <row r="269">
      <c r="A269" s="19" t="str">
        <f t="shared" si="1"/>
        <v>P269</v>
      </c>
      <c r="D269" s="19"/>
      <c r="E269" s="21"/>
      <c r="F269" s="22"/>
      <c r="G269" s="22"/>
      <c r="H269" s="22" t="str">
        <f t="shared" si="2"/>
        <v/>
      </c>
      <c r="I269" s="22">
        <f t="shared" si="3"/>
        <v>0</v>
      </c>
      <c r="J269" s="23" t="str">
        <f t="shared" si="4"/>
        <v/>
      </c>
      <c r="K269" s="22">
        <f t="shared" si="5"/>
        <v>0</v>
      </c>
      <c r="L269" s="22">
        <f t="shared" si="6"/>
        <v>0</v>
      </c>
      <c r="M269" s="23">
        <f t="shared" si="7"/>
        <v>0.0612</v>
      </c>
      <c r="N269" s="22">
        <f t="shared" si="8"/>
        <v>0</v>
      </c>
      <c r="O269" s="23">
        <f t="shared" si="9"/>
        <v>0.124</v>
      </c>
      <c r="P269" s="22">
        <f t="shared" si="10"/>
        <v>0</v>
      </c>
      <c r="Q269" s="20">
        <f>SUMIFS(Entradas!D:D,Entradas!B:B,B269,Entradas!C:C,C269) - SUMIFS(Vendas!E:E,Vendas!C:C,B269,Vendas!D:D,C269)</f>
        <v>0</v>
      </c>
    </row>
    <row r="270">
      <c r="A270" s="19" t="str">
        <f t="shared" si="1"/>
        <v>P270</v>
      </c>
      <c r="D270" s="19"/>
      <c r="E270" s="21"/>
      <c r="F270" s="22"/>
      <c r="G270" s="22"/>
      <c r="H270" s="22" t="str">
        <f t="shared" si="2"/>
        <v/>
      </c>
      <c r="I270" s="22">
        <f t="shared" si="3"/>
        <v>0</v>
      </c>
      <c r="J270" s="23" t="str">
        <f t="shared" si="4"/>
        <v/>
      </c>
      <c r="K270" s="22">
        <f t="shared" si="5"/>
        <v>0</v>
      </c>
      <c r="L270" s="22">
        <f t="shared" si="6"/>
        <v>0</v>
      </c>
      <c r="M270" s="23">
        <f t="shared" si="7"/>
        <v>0.0612</v>
      </c>
      <c r="N270" s="22">
        <f t="shared" si="8"/>
        <v>0</v>
      </c>
      <c r="O270" s="23">
        <f t="shared" si="9"/>
        <v>0.124</v>
      </c>
      <c r="P270" s="22">
        <f t="shared" si="10"/>
        <v>0</v>
      </c>
      <c r="Q270" s="20">
        <f>SUMIFS(Entradas!D:D,Entradas!B:B,B270,Entradas!C:C,C270) - SUMIFS(Vendas!E:E,Vendas!C:C,B270,Vendas!D:D,C270)</f>
        <v>0</v>
      </c>
    </row>
    <row r="271">
      <c r="A271" s="19" t="str">
        <f t="shared" si="1"/>
        <v>P271</v>
      </c>
      <c r="D271" s="19"/>
      <c r="E271" s="21"/>
      <c r="F271" s="22"/>
      <c r="G271" s="22"/>
      <c r="H271" s="22" t="str">
        <f t="shared" si="2"/>
        <v/>
      </c>
      <c r="I271" s="22">
        <f t="shared" si="3"/>
        <v>0</v>
      </c>
      <c r="J271" s="23" t="str">
        <f t="shared" si="4"/>
        <v/>
      </c>
      <c r="K271" s="22">
        <f t="shared" si="5"/>
        <v>0</v>
      </c>
      <c r="L271" s="22">
        <f t="shared" si="6"/>
        <v>0</v>
      </c>
      <c r="M271" s="23">
        <f t="shared" si="7"/>
        <v>0.0612</v>
      </c>
      <c r="N271" s="22">
        <f t="shared" si="8"/>
        <v>0</v>
      </c>
      <c r="O271" s="23">
        <f t="shared" si="9"/>
        <v>0.124</v>
      </c>
      <c r="P271" s="22">
        <f t="shared" si="10"/>
        <v>0</v>
      </c>
      <c r="Q271" s="20">
        <f>SUMIFS(Entradas!D:D,Entradas!B:B,B271,Entradas!C:C,C271) - SUMIFS(Vendas!E:E,Vendas!C:C,B271,Vendas!D:D,C271)</f>
        <v>0</v>
      </c>
    </row>
    <row r="272">
      <c r="A272" s="19" t="str">
        <f t="shared" si="1"/>
        <v>P272</v>
      </c>
      <c r="D272" s="19"/>
      <c r="E272" s="21"/>
      <c r="F272" s="22"/>
      <c r="G272" s="22"/>
      <c r="H272" s="22" t="str">
        <f t="shared" si="2"/>
        <v/>
      </c>
      <c r="I272" s="22">
        <f t="shared" si="3"/>
        <v>0</v>
      </c>
      <c r="J272" s="23" t="str">
        <f t="shared" si="4"/>
        <v/>
      </c>
      <c r="K272" s="22">
        <f t="shared" si="5"/>
        <v>0</v>
      </c>
      <c r="L272" s="22">
        <f t="shared" si="6"/>
        <v>0</v>
      </c>
      <c r="M272" s="23">
        <f t="shared" si="7"/>
        <v>0.0612</v>
      </c>
      <c r="N272" s="22">
        <f t="shared" si="8"/>
        <v>0</v>
      </c>
      <c r="O272" s="23">
        <f t="shared" si="9"/>
        <v>0.124</v>
      </c>
      <c r="P272" s="22">
        <f t="shared" si="10"/>
        <v>0</v>
      </c>
      <c r="Q272" s="20">
        <f>SUMIFS(Entradas!D:D,Entradas!B:B,B272,Entradas!C:C,C272) - SUMIFS(Vendas!E:E,Vendas!C:C,B272,Vendas!D:D,C272)</f>
        <v>0</v>
      </c>
    </row>
    <row r="273">
      <c r="A273" s="19" t="str">
        <f t="shared" si="1"/>
        <v>P273</v>
      </c>
      <c r="D273" s="19"/>
      <c r="E273" s="21"/>
      <c r="F273" s="22"/>
      <c r="G273" s="22"/>
      <c r="H273" s="22" t="str">
        <f t="shared" si="2"/>
        <v/>
      </c>
      <c r="I273" s="22">
        <f t="shared" si="3"/>
        <v>0</v>
      </c>
      <c r="J273" s="23" t="str">
        <f t="shared" si="4"/>
        <v/>
      </c>
      <c r="K273" s="22">
        <f t="shared" si="5"/>
        <v>0</v>
      </c>
      <c r="L273" s="22">
        <f t="shared" si="6"/>
        <v>0</v>
      </c>
      <c r="M273" s="23">
        <f t="shared" si="7"/>
        <v>0.0612</v>
      </c>
      <c r="N273" s="22">
        <f t="shared" si="8"/>
        <v>0</v>
      </c>
      <c r="O273" s="23">
        <f t="shared" si="9"/>
        <v>0.124</v>
      </c>
      <c r="P273" s="22">
        <f t="shared" si="10"/>
        <v>0</v>
      </c>
      <c r="Q273" s="20">
        <f>SUMIFS(Entradas!D:D,Entradas!B:B,B273,Entradas!C:C,C273) - SUMIFS(Vendas!E:E,Vendas!C:C,B273,Vendas!D:D,C273)</f>
        <v>0</v>
      </c>
    </row>
    <row r="274">
      <c r="A274" s="19" t="str">
        <f t="shared" si="1"/>
        <v>P274</v>
      </c>
      <c r="D274" s="19"/>
      <c r="E274" s="21"/>
      <c r="F274" s="22"/>
      <c r="G274" s="22"/>
      <c r="H274" s="22" t="str">
        <f t="shared" si="2"/>
        <v/>
      </c>
      <c r="I274" s="22">
        <f t="shared" si="3"/>
        <v>0</v>
      </c>
      <c r="J274" s="23" t="str">
        <f t="shared" si="4"/>
        <v/>
      </c>
      <c r="K274" s="22">
        <f t="shared" si="5"/>
        <v>0</v>
      </c>
      <c r="L274" s="22">
        <f t="shared" si="6"/>
        <v>0</v>
      </c>
      <c r="M274" s="23">
        <f t="shared" si="7"/>
        <v>0.0612</v>
      </c>
      <c r="N274" s="22">
        <f t="shared" si="8"/>
        <v>0</v>
      </c>
      <c r="O274" s="23">
        <f t="shared" si="9"/>
        <v>0.124</v>
      </c>
      <c r="P274" s="22">
        <f t="shared" si="10"/>
        <v>0</v>
      </c>
      <c r="Q274" s="20">
        <f>SUMIFS(Entradas!D:D,Entradas!B:B,B274,Entradas!C:C,C274) - SUMIFS(Vendas!E:E,Vendas!C:C,B274,Vendas!D:D,C274)</f>
        <v>0</v>
      </c>
    </row>
    <row r="275">
      <c r="A275" s="19" t="str">
        <f t="shared" si="1"/>
        <v>P275</v>
      </c>
      <c r="D275" s="19"/>
      <c r="E275" s="21"/>
      <c r="F275" s="22"/>
      <c r="G275" s="22"/>
      <c r="H275" s="22" t="str">
        <f t="shared" si="2"/>
        <v/>
      </c>
      <c r="I275" s="22">
        <f t="shared" si="3"/>
        <v>0</v>
      </c>
      <c r="J275" s="23" t="str">
        <f t="shared" si="4"/>
        <v/>
      </c>
      <c r="K275" s="22">
        <f t="shared" si="5"/>
        <v>0</v>
      </c>
      <c r="L275" s="22">
        <f t="shared" si="6"/>
        <v>0</v>
      </c>
      <c r="M275" s="23">
        <f t="shared" si="7"/>
        <v>0.0612</v>
      </c>
      <c r="N275" s="22">
        <f t="shared" si="8"/>
        <v>0</v>
      </c>
      <c r="O275" s="23">
        <f t="shared" si="9"/>
        <v>0.124</v>
      </c>
      <c r="P275" s="22">
        <f t="shared" si="10"/>
        <v>0</v>
      </c>
      <c r="Q275" s="20">
        <f>SUMIFS(Entradas!D:D,Entradas!B:B,B275,Entradas!C:C,C275) - SUMIFS(Vendas!E:E,Vendas!C:C,B275,Vendas!D:D,C275)</f>
        <v>0</v>
      </c>
    </row>
    <row r="276">
      <c r="A276" s="19" t="str">
        <f t="shared" si="1"/>
        <v>P276</v>
      </c>
      <c r="D276" s="19"/>
      <c r="E276" s="21"/>
      <c r="F276" s="22"/>
      <c r="G276" s="22"/>
      <c r="H276" s="22" t="str">
        <f t="shared" si="2"/>
        <v/>
      </c>
      <c r="I276" s="22">
        <f t="shared" si="3"/>
        <v>0</v>
      </c>
      <c r="J276" s="23" t="str">
        <f t="shared" si="4"/>
        <v/>
      </c>
      <c r="K276" s="22">
        <f t="shared" si="5"/>
        <v>0</v>
      </c>
      <c r="L276" s="22">
        <f t="shared" si="6"/>
        <v>0</v>
      </c>
      <c r="M276" s="23">
        <f t="shared" si="7"/>
        <v>0.0612</v>
      </c>
      <c r="N276" s="22">
        <f t="shared" si="8"/>
        <v>0</v>
      </c>
      <c r="O276" s="23">
        <f t="shared" si="9"/>
        <v>0.124</v>
      </c>
      <c r="P276" s="22">
        <f t="shared" si="10"/>
        <v>0</v>
      </c>
      <c r="Q276" s="20">
        <f>SUMIFS(Entradas!D:D,Entradas!B:B,B276,Entradas!C:C,C276) - SUMIFS(Vendas!E:E,Vendas!C:C,B276,Vendas!D:D,C276)</f>
        <v>0</v>
      </c>
    </row>
    <row r="277">
      <c r="A277" s="19" t="str">
        <f t="shared" si="1"/>
        <v>P277</v>
      </c>
      <c r="D277" s="19"/>
      <c r="E277" s="21"/>
      <c r="F277" s="22"/>
      <c r="G277" s="22"/>
      <c r="H277" s="22" t="str">
        <f t="shared" si="2"/>
        <v/>
      </c>
      <c r="I277" s="22">
        <f t="shared" si="3"/>
        <v>0</v>
      </c>
      <c r="J277" s="23" t="str">
        <f t="shared" si="4"/>
        <v/>
      </c>
      <c r="K277" s="22">
        <f t="shared" si="5"/>
        <v>0</v>
      </c>
      <c r="L277" s="22">
        <f t="shared" si="6"/>
        <v>0</v>
      </c>
      <c r="M277" s="23">
        <f t="shared" si="7"/>
        <v>0.0612</v>
      </c>
      <c r="N277" s="22">
        <f t="shared" si="8"/>
        <v>0</v>
      </c>
      <c r="O277" s="23">
        <f t="shared" si="9"/>
        <v>0.124</v>
      </c>
      <c r="P277" s="22">
        <f t="shared" si="10"/>
        <v>0</v>
      </c>
      <c r="Q277" s="20">
        <f>SUMIFS(Entradas!D:D,Entradas!B:B,B277,Entradas!C:C,C277) - SUMIFS(Vendas!E:E,Vendas!C:C,B277,Vendas!D:D,C277)</f>
        <v>0</v>
      </c>
    </row>
    <row r="278">
      <c r="A278" s="19" t="str">
        <f t="shared" si="1"/>
        <v>P278</v>
      </c>
      <c r="D278" s="19"/>
      <c r="E278" s="21"/>
      <c r="F278" s="22"/>
      <c r="G278" s="22"/>
      <c r="H278" s="22" t="str">
        <f t="shared" si="2"/>
        <v/>
      </c>
      <c r="I278" s="22">
        <f t="shared" si="3"/>
        <v>0</v>
      </c>
      <c r="J278" s="23" t="str">
        <f t="shared" si="4"/>
        <v/>
      </c>
      <c r="K278" s="22">
        <f t="shared" si="5"/>
        <v>0</v>
      </c>
      <c r="L278" s="22">
        <f t="shared" si="6"/>
        <v>0</v>
      </c>
      <c r="M278" s="23">
        <f t="shared" si="7"/>
        <v>0.0612</v>
      </c>
      <c r="N278" s="22">
        <f t="shared" si="8"/>
        <v>0</v>
      </c>
      <c r="O278" s="23">
        <f t="shared" si="9"/>
        <v>0.124</v>
      </c>
      <c r="P278" s="22">
        <f t="shared" si="10"/>
        <v>0</v>
      </c>
      <c r="Q278" s="20">
        <f>SUMIFS(Entradas!D:D,Entradas!B:B,B278,Entradas!C:C,C278) - SUMIFS(Vendas!E:E,Vendas!C:C,B278,Vendas!D:D,C278)</f>
        <v>0</v>
      </c>
    </row>
    <row r="279">
      <c r="A279" s="19" t="str">
        <f t="shared" si="1"/>
        <v>P279</v>
      </c>
      <c r="D279" s="19"/>
      <c r="E279" s="21"/>
      <c r="F279" s="22"/>
      <c r="G279" s="22"/>
      <c r="H279" s="22" t="str">
        <f t="shared" si="2"/>
        <v/>
      </c>
      <c r="I279" s="22">
        <f t="shared" si="3"/>
        <v>0</v>
      </c>
      <c r="J279" s="23" t="str">
        <f t="shared" si="4"/>
        <v/>
      </c>
      <c r="K279" s="22">
        <f t="shared" si="5"/>
        <v>0</v>
      </c>
      <c r="L279" s="22">
        <f t="shared" si="6"/>
        <v>0</v>
      </c>
      <c r="M279" s="23">
        <f t="shared" si="7"/>
        <v>0.0612</v>
      </c>
      <c r="N279" s="22">
        <f t="shared" si="8"/>
        <v>0</v>
      </c>
      <c r="O279" s="23">
        <f t="shared" si="9"/>
        <v>0.124</v>
      </c>
      <c r="P279" s="22">
        <f t="shared" si="10"/>
        <v>0</v>
      </c>
      <c r="Q279" s="20">
        <f>SUMIFS(Entradas!D:D,Entradas!B:B,B279,Entradas!C:C,C279) - SUMIFS(Vendas!E:E,Vendas!C:C,B279,Vendas!D:D,C279)</f>
        <v>0</v>
      </c>
    </row>
    <row r="280">
      <c r="A280" s="19" t="str">
        <f t="shared" si="1"/>
        <v>P280</v>
      </c>
      <c r="D280" s="19"/>
      <c r="E280" s="21"/>
      <c r="F280" s="22"/>
      <c r="G280" s="22"/>
      <c r="H280" s="22" t="str">
        <f t="shared" si="2"/>
        <v/>
      </c>
      <c r="I280" s="22">
        <f t="shared" si="3"/>
        <v>0</v>
      </c>
      <c r="J280" s="23" t="str">
        <f t="shared" si="4"/>
        <v/>
      </c>
      <c r="K280" s="22">
        <f t="shared" si="5"/>
        <v>0</v>
      </c>
      <c r="L280" s="22">
        <f t="shared" si="6"/>
        <v>0</v>
      </c>
      <c r="M280" s="23">
        <f t="shared" si="7"/>
        <v>0.0612</v>
      </c>
      <c r="N280" s="22">
        <f t="shared" si="8"/>
        <v>0</v>
      </c>
      <c r="O280" s="23">
        <f t="shared" si="9"/>
        <v>0.124</v>
      </c>
      <c r="P280" s="22">
        <f t="shared" si="10"/>
        <v>0</v>
      </c>
      <c r="Q280" s="20">
        <f>SUMIFS(Entradas!D:D,Entradas!B:B,B280,Entradas!C:C,C280) - SUMIFS(Vendas!E:E,Vendas!C:C,B280,Vendas!D:D,C280)</f>
        <v>0</v>
      </c>
    </row>
    <row r="281">
      <c r="A281" s="19" t="str">
        <f t="shared" si="1"/>
        <v>P281</v>
      </c>
      <c r="D281" s="19"/>
      <c r="E281" s="21"/>
      <c r="F281" s="22"/>
      <c r="G281" s="22"/>
      <c r="H281" s="22" t="str">
        <f t="shared" si="2"/>
        <v/>
      </c>
      <c r="I281" s="22">
        <f t="shared" si="3"/>
        <v>0</v>
      </c>
      <c r="J281" s="23" t="str">
        <f t="shared" si="4"/>
        <v/>
      </c>
      <c r="K281" s="22">
        <f t="shared" si="5"/>
        <v>0</v>
      </c>
      <c r="L281" s="22">
        <f t="shared" si="6"/>
        <v>0</v>
      </c>
      <c r="M281" s="23">
        <f t="shared" si="7"/>
        <v>0.0612</v>
      </c>
      <c r="N281" s="22">
        <f t="shared" si="8"/>
        <v>0</v>
      </c>
      <c r="O281" s="23">
        <f t="shared" si="9"/>
        <v>0.124</v>
      </c>
      <c r="P281" s="22">
        <f t="shared" si="10"/>
        <v>0</v>
      </c>
      <c r="Q281" s="20">
        <f>SUMIFS(Entradas!D:D,Entradas!B:B,B281,Entradas!C:C,C281) - SUMIFS(Vendas!E:E,Vendas!C:C,B281,Vendas!D:D,C281)</f>
        <v>0</v>
      </c>
    </row>
    <row r="282">
      <c r="A282" s="19" t="str">
        <f t="shared" si="1"/>
        <v>P282</v>
      </c>
      <c r="D282" s="19"/>
      <c r="E282" s="21"/>
      <c r="F282" s="22"/>
      <c r="G282" s="22"/>
      <c r="H282" s="22" t="str">
        <f t="shared" si="2"/>
        <v/>
      </c>
      <c r="I282" s="22">
        <f t="shared" si="3"/>
        <v>0</v>
      </c>
      <c r="J282" s="23" t="str">
        <f t="shared" si="4"/>
        <v/>
      </c>
      <c r="K282" s="22">
        <f t="shared" si="5"/>
        <v>0</v>
      </c>
      <c r="L282" s="22">
        <f t="shared" si="6"/>
        <v>0</v>
      </c>
      <c r="M282" s="23">
        <f t="shared" si="7"/>
        <v>0.0612</v>
      </c>
      <c r="N282" s="22">
        <f t="shared" si="8"/>
        <v>0</v>
      </c>
      <c r="O282" s="23">
        <f t="shared" si="9"/>
        <v>0.124</v>
      </c>
      <c r="P282" s="22">
        <f t="shared" si="10"/>
        <v>0</v>
      </c>
      <c r="Q282" s="20">
        <f>SUMIFS(Entradas!D:D,Entradas!B:B,B282,Entradas!C:C,C282) - SUMIFS(Vendas!E:E,Vendas!C:C,B282,Vendas!D:D,C282)</f>
        <v>0</v>
      </c>
    </row>
    <row r="283">
      <c r="A283" s="19" t="str">
        <f t="shared" si="1"/>
        <v>P283</v>
      </c>
      <c r="D283" s="19"/>
      <c r="E283" s="21"/>
      <c r="F283" s="22"/>
      <c r="G283" s="22"/>
      <c r="H283" s="22" t="str">
        <f t="shared" si="2"/>
        <v/>
      </c>
      <c r="I283" s="22">
        <f t="shared" si="3"/>
        <v>0</v>
      </c>
      <c r="J283" s="23" t="str">
        <f t="shared" si="4"/>
        <v/>
      </c>
      <c r="K283" s="22">
        <f t="shared" si="5"/>
        <v>0</v>
      </c>
      <c r="L283" s="22">
        <f t="shared" si="6"/>
        <v>0</v>
      </c>
      <c r="M283" s="23">
        <f t="shared" si="7"/>
        <v>0.0612</v>
      </c>
      <c r="N283" s="22">
        <f t="shared" si="8"/>
        <v>0</v>
      </c>
      <c r="O283" s="23">
        <f t="shared" si="9"/>
        <v>0.124</v>
      </c>
      <c r="P283" s="22">
        <f t="shared" si="10"/>
        <v>0</v>
      </c>
      <c r="Q283" s="20">
        <f>SUMIFS(Entradas!D:D,Entradas!B:B,B283,Entradas!C:C,C283) - SUMIFS(Vendas!E:E,Vendas!C:C,B283,Vendas!D:D,C283)</f>
        <v>0</v>
      </c>
    </row>
    <row r="284">
      <c r="A284" s="19" t="str">
        <f t="shared" si="1"/>
        <v>P284</v>
      </c>
      <c r="D284" s="19"/>
      <c r="E284" s="21"/>
      <c r="F284" s="22"/>
      <c r="G284" s="22"/>
      <c r="H284" s="22" t="str">
        <f t="shared" si="2"/>
        <v/>
      </c>
      <c r="I284" s="22">
        <f t="shared" si="3"/>
        <v>0</v>
      </c>
      <c r="J284" s="23" t="str">
        <f t="shared" si="4"/>
        <v/>
      </c>
      <c r="K284" s="22">
        <f t="shared" si="5"/>
        <v>0</v>
      </c>
      <c r="L284" s="22">
        <f t="shared" si="6"/>
        <v>0</v>
      </c>
      <c r="M284" s="23">
        <f t="shared" si="7"/>
        <v>0.0612</v>
      </c>
      <c r="N284" s="22">
        <f t="shared" si="8"/>
        <v>0</v>
      </c>
      <c r="O284" s="23">
        <f t="shared" si="9"/>
        <v>0.124</v>
      </c>
      <c r="P284" s="22">
        <f t="shared" si="10"/>
        <v>0</v>
      </c>
      <c r="Q284" s="20">
        <f>SUMIFS(Entradas!D:D,Entradas!B:B,B284,Entradas!C:C,C284) - SUMIFS(Vendas!E:E,Vendas!C:C,B284,Vendas!D:D,C284)</f>
        <v>0</v>
      </c>
    </row>
    <row r="285">
      <c r="A285" s="19" t="str">
        <f t="shared" si="1"/>
        <v>P285</v>
      </c>
      <c r="D285" s="19"/>
      <c r="E285" s="21"/>
      <c r="F285" s="22"/>
      <c r="G285" s="22"/>
      <c r="H285" s="22" t="str">
        <f t="shared" si="2"/>
        <v/>
      </c>
      <c r="I285" s="22">
        <f t="shared" si="3"/>
        <v>0</v>
      </c>
      <c r="J285" s="23" t="str">
        <f t="shared" si="4"/>
        <v/>
      </c>
      <c r="K285" s="22">
        <f t="shared" si="5"/>
        <v>0</v>
      </c>
      <c r="L285" s="22">
        <f t="shared" si="6"/>
        <v>0</v>
      </c>
      <c r="M285" s="23">
        <f t="shared" si="7"/>
        <v>0.0612</v>
      </c>
      <c r="N285" s="22">
        <f t="shared" si="8"/>
        <v>0</v>
      </c>
      <c r="O285" s="23">
        <f t="shared" si="9"/>
        <v>0.124</v>
      </c>
      <c r="P285" s="22">
        <f t="shared" si="10"/>
        <v>0</v>
      </c>
      <c r="Q285" s="20">
        <f>SUMIFS(Entradas!D:D,Entradas!B:B,B285,Entradas!C:C,C285) - SUMIFS(Vendas!E:E,Vendas!C:C,B285,Vendas!D:D,C285)</f>
        <v>0</v>
      </c>
    </row>
    <row r="286">
      <c r="A286" s="19" t="str">
        <f t="shared" si="1"/>
        <v>P286</v>
      </c>
      <c r="D286" s="19"/>
      <c r="E286" s="21"/>
      <c r="F286" s="22"/>
      <c r="G286" s="22"/>
      <c r="H286" s="22" t="str">
        <f t="shared" si="2"/>
        <v/>
      </c>
      <c r="I286" s="22">
        <f t="shared" si="3"/>
        <v>0</v>
      </c>
      <c r="J286" s="23" t="str">
        <f t="shared" si="4"/>
        <v/>
      </c>
      <c r="K286" s="22">
        <f t="shared" si="5"/>
        <v>0</v>
      </c>
      <c r="L286" s="22">
        <f t="shared" si="6"/>
        <v>0</v>
      </c>
      <c r="M286" s="23">
        <f t="shared" si="7"/>
        <v>0.0612</v>
      </c>
      <c r="N286" s="22">
        <f t="shared" si="8"/>
        <v>0</v>
      </c>
      <c r="O286" s="23">
        <f t="shared" si="9"/>
        <v>0.124</v>
      </c>
      <c r="P286" s="22">
        <f t="shared" si="10"/>
        <v>0</v>
      </c>
      <c r="Q286" s="20">
        <f>SUMIFS(Entradas!D:D,Entradas!B:B,B286,Entradas!C:C,C286) - SUMIFS(Vendas!E:E,Vendas!C:C,B286,Vendas!D:D,C286)</f>
        <v>0</v>
      </c>
    </row>
    <row r="287">
      <c r="A287" s="19" t="str">
        <f t="shared" si="1"/>
        <v>P287</v>
      </c>
      <c r="D287" s="19"/>
      <c r="E287" s="21"/>
      <c r="F287" s="22"/>
      <c r="G287" s="22"/>
      <c r="H287" s="22" t="str">
        <f t="shared" si="2"/>
        <v/>
      </c>
      <c r="I287" s="22">
        <f t="shared" si="3"/>
        <v>0</v>
      </c>
      <c r="J287" s="23" t="str">
        <f t="shared" si="4"/>
        <v/>
      </c>
      <c r="K287" s="22">
        <f t="shared" si="5"/>
        <v>0</v>
      </c>
      <c r="L287" s="22">
        <f t="shared" si="6"/>
        <v>0</v>
      </c>
      <c r="M287" s="23">
        <f t="shared" si="7"/>
        <v>0.0612</v>
      </c>
      <c r="N287" s="22">
        <f t="shared" si="8"/>
        <v>0</v>
      </c>
      <c r="O287" s="23">
        <f t="shared" si="9"/>
        <v>0.124</v>
      </c>
      <c r="P287" s="22">
        <f t="shared" si="10"/>
        <v>0</v>
      </c>
      <c r="Q287" s="20">
        <f>SUMIFS(Entradas!D:D,Entradas!B:B,B287,Entradas!C:C,C287) - SUMIFS(Vendas!E:E,Vendas!C:C,B287,Vendas!D:D,C287)</f>
        <v>0</v>
      </c>
    </row>
    <row r="288">
      <c r="A288" s="19" t="str">
        <f t="shared" si="1"/>
        <v>P288</v>
      </c>
      <c r="D288" s="19"/>
      <c r="E288" s="21"/>
      <c r="F288" s="22"/>
      <c r="G288" s="22"/>
      <c r="H288" s="22" t="str">
        <f t="shared" si="2"/>
        <v/>
      </c>
      <c r="I288" s="22">
        <f t="shared" si="3"/>
        <v>0</v>
      </c>
      <c r="J288" s="23" t="str">
        <f t="shared" si="4"/>
        <v/>
      </c>
      <c r="K288" s="22">
        <f t="shared" si="5"/>
        <v>0</v>
      </c>
      <c r="L288" s="22">
        <f t="shared" si="6"/>
        <v>0</v>
      </c>
      <c r="M288" s="23">
        <f t="shared" si="7"/>
        <v>0.0612</v>
      </c>
      <c r="N288" s="22">
        <f t="shared" si="8"/>
        <v>0</v>
      </c>
      <c r="O288" s="23">
        <f t="shared" si="9"/>
        <v>0.124</v>
      </c>
      <c r="P288" s="22">
        <f t="shared" si="10"/>
        <v>0</v>
      </c>
      <c r="Q288" s="20">
        <f>SUMIFS(Entradas!D:D,Entradas!B:B,B288,Entradas!C:C,C288) - SUMIFS(Vendas!E:E,Vendas!C:C,B288,Vendas!D:D,C288)</f>
        <v>0</v>
      </c>
    </row>
    <row r="289">
      <c r="A289" s="19" t="str">
        <f t="shared" si="1"/>
        <v>P289</v>
      </c>
      <c r="D289" s="19"/>
      <c r="E289" s="21"/>
      <c r="F289" s="22"/>
      <c r="G289" s="22"/>
      <c r="H289" s="22" t="str">
        <f t="shared" si="2"/>
        <v/>
      </c>
      <c r="I289" s="22">
        <f t="shared" si="3"/>
        <v>0</v>
      </c>
      <c r="J289" s="23" t="str">
        <f t="shared" si="4"/>
        <v/>
      </c>
      <c r="K289" s="22">
        <f t="shared" si="5"/>
        <v>0</v>
      </c>
      <c r="L289" s="22">
        <f t="shared" si="6"/>
        <v>0</v>
      </c>
      <c r="M289" s="23">
        <f t="shared" si="7"/>
        <v>0.0612</v>
      </c>
      <c r="N289" s="22">
        <f t="shared" si="8"/>
        <v>0</v>
      </c>
      <c r="O289" s="23">
        <f t="shared" si="9"/>
        <v>0.124</v>
      </c>
      <c r="P289" s="22">
        <f t="shared" si="10"/>
        <v>0</v>
      </c>
      <c r="Q289" s="20">
        <f>SUMIFS(Entradas!D:D,Entradas!B:B,B289,Entradas!C:C,C289) - SUMIFS(Vendas!E:E,Vendas!C:C,B289,Vendas!D:D,C289)</f>
        <v>0</v>
      </c>
    </row>
    <row r="290">
      <c r="A290" s="19" t="str">
        <f t="shared" si="1"/>
        <v>P290</v>
      </c>
      <c r="D290" s="19"/>
      <c r="E290" s="21"/>
      <c r="F290" s="22"/>
      <c r="G290" s="22"/>
      <c r="H290" s="22" t="str">
        <f t="shared" si="2"/>
        <v/>
      </c>
      <c r="I290" s="22">
        <f t="shared" si="3"/>
        <v>0</v>
      </c>
      <c r="J290" s="23" t="str">
        <f t="shared" si="4"/>
        <v/>
      </c>
      <c r="K290" s="22">
        <f t="shared" si="5"/>
        <v>0</v>
      </c>
      <c r="L290" s="22">
        <f t="shared" si="6"/>
        <v>0</v>
      </c>
      <c r="M290" s="23">
        <f t="shared" si="7"/>
        <v>0.0612</v>
      </c>
      <c r="N290" s="22">
        <f t="shared" si="8"/>
        <v>0</v>
      </c>
      <c r="O290" s="23">
        <f t="shared" si="9"/>
        <v>0.124</v>
      </c>
      <c r="P290" s="22">
        <f t="shared" si="10"/>
        <v>0</v>
      </c>
      <c r="Q290" s="20">
        <f>SUMIFS(Entradas!D:D,Entradas!B:B,B290,Entradas!C:C,C290) - SUMIFS(Vendas!E:E,Vendas!C:C,B290,Vendas!D:D,C290)</f>
        <v>0</v>
      </c>
    </row>
    <row r="291">
      <c r="A291" s="19" t="str">
        <f t="shared" si="1"/>
        <v>P291</v>
      </c>
      <c r="D291" s="19"/>
      <c r="E291" s="21"/>
      <c r="F291" s="22"/>
      <c r="G291" s="22"/>
      <c r="H291" s="22" t="str">
        <f t="shared" si="2"/>
        <v/>
      </c>
      <c r="I291" s="22">
        <f t="shared" si="3"/>
        <v>0</v>
      </c>
      <c r="J291" s="23" t="str">
        <f t="shared" si="4"/>
        <v/>
      </c>
      <c r="K291" s="22">
        <f t="shared" si="5"/>
        <v>0</v>
      </c>
      <c r="L291" s="22">
        <f t="shared" si="6"/>
        <v>0</v>
      </c>
      <c r="M291" s="23">
        <f t="shared" si="7"/>
        <v>0.0612</v>
      </c>
      <c r="N291" s="22">
        <f t="shared" si="8"/>
        <v>0</v>
      </c>
      <c r="O291" s="23">
        <f t="shared" si="9"/>
        <v>0.124</v>
      </c>
      <c r="P291" s="22">
        <f t="shared" si="10"/>
        <v>0</v>
      </c>
      <c r="Q291" s="20">
        <f>SUMIFS(Entradas!D:D,Entradas!B:B,B291,Entradas!C:C,C291) - SUMIFS(Vendas!E:E,Vendas!C:C,B291,Vendas!D:D,C291)</f>
        <v>0</v>
      </c>
    </row>
    <row r="292">
      <c r="A292" s="19" t="str">
        <f t="shared" si="1"/>
        <v>P292</v>
      </c>
      <c r="D292" s="19"/>
      <c r="E292" s="21"/>
      <c r="F292" s="22"/>
      <c r="G292" s="22"/>
      <c r="H292" s="22" t="str">
        <f t="shared" si="2"/>
        <v/>
      </c>
      <c r="I292" s="22">
        <f t="shared" si="3"/>
        <v>0</v>
      </c>
      <c r="J292" s="23" t="str">
        <f t="shared" si="4"/>
        <v/>
      </c>
      <c r="K292" s="22">
        <f t="shared" si="5"/>
        <v>0</v>
      </c>
      <c r="L292" s="22">
        <f t="shared" si="6"/>
        <v>0</v>
      </c>
      <c r="M292" s="23">
        <f t="shared" si="7"/>
        <v>0.0612</v>
      </c>
      <c r="N292" s="22">
        <f t="shared" si="8"/>
        <v>0</v>
      </c>
      <c r="O292" s="23">
        <f t="shared" si="9"/>
        <v>0.124</v>
      </c>
      <c r="P292" s="22">
        <f t="shared" si="10"/>
        <v>0</v>
      </c>
      <c r="Q292" s="20">
        <f>SUMIFS(Entradas!D:D,Entradas!B:B,B292,Entradas!C:C,C292) - SUMIFS(Vendas!E:E,Vendas!C:C,B292,Vendas!D:D,C292)</f>
        <v>0</v>
      </c>
    </row>
    <row r="293">
      <c r="A293" s="19" t="str">
        <f t="shared" si="1"/>
        <v>P293</v>
      </c>
      <c r="D293" s="19"/>
      <c r="E293" s="21"/>
      <c r="F293" s="22"/>
      <c r="G293" s="22"/>
      <c r="H293" s="22" t="str">
        <f t="shared" si="2"/>
        <v/>
      </c>
      <c r="I293" s="22">
        <f t="shared" si="3"/>
        <v>0</v>
      </c>
      <c r="J293" s="23" t="str">
        <f t="shared" si="4"/>
        <v/>
      </c>
      <c r="K293" s="22">
        <f t="shared" si="5"/>
        <v>0</v>
      </c>
      <c r="L293" s="22">
        <f t="shared" si="6"/>
        <v>0</v>
      </c>
      <c r="M293" s="23">
        <f t="shared" si="7"/>
        <v>0.0612</v>
      </c>
      <c r="N293" s="22">
        <f t="shared" si="8"/>
        <v>0</v>
      </c>
      <c r="O293" s="23">
        <f t="shared" si="9"/>
        <v>0.124</v>
      </c>
      <c r="P293" s="22">
        <f t="shared" si="10"/>
        <v>0</v>
      </c>
      <c r="Q293" s="20">
        <f>SUMIFS(Entradas!D:D,Entradas!B:B,B293,Entradas!C:C,C293) - SUMIFS(Vendas!E:E,Vendas!C:C,B293,Vendas!D:D,C293)</f>
        <v>0</v>
      </c>
    </row>
    <row r="294">
      <c r="A294" s="19" t="str">
        <f t="shared" si="1"/>
        <v>P294</v>
      </c>
      <c r="D294" s="19"/>
      <c r="E294" s="21"/>
      <c r="F294" s="22"/>
      <c r="G294" s="22"/>
      <c r="H294" s="22" t="str">
        <f t="shared" si="2"/>
        <v/>
      </c>
      <c r="I294" s="22">
        <f t="shared" si="3"/>
        <v>0</v>
      </c>
      <c r="J294" s="23" t="str">
        <f t="shared" si="4"/>
        <v/>
      </c>
      <c r="K294" s="22">
        <f t="shared" si="5"/>
        <v>0</v>
      </c>
      <c r="L294" s="22">
        <f t="shared" si="6"/>
        <v>0</v>
      </c>
      <c r="M294" s="23">
        <f t="shared" si="7"/>
        <v>0.0612</v>
      </c>
      <c r="N294" s="22">
        <f t="shared" si="8"/>
        <v>0</v>
      </c>
      <c r="O294" s="23">
        <f t="shared" si="9"/>
        <v>0.124</v>
      </c>
      <c r="P294" s="22">
        <f t="shared" si="10"/>
        <v>0</v>
      </c>
      <c r="Q294" s="20">
        <f>SUMIFS(Entradas!D:D,Entradas!B:B,B294,Entradas!C:C,C294) - SUMIFS(Vendas!E:E,Vendas!C:C,B294,Vendas!D:D,C294)</f>
        <v>0</v>
      </c>
    </row>
    <row r="295">
      <c r="A295" s="19" t="str">
        <f t="shared" si="1"/>
        <v>P295</v>
      </c>
      <c r="D295" s="19"/>
      <c r="E295" s="21"/>
      <c r="F295" s="22"/>
      <c r="G295" s="22"/>
      <c r="H295" s="22" t="str">
        <f t="shared" si="2"/>
        <v/>
      </c>
      <c r="I295" s="22">
        <f t="shared" si="3"/>
        <v>0</v>
      </c>
      <c r="J295" s="23" t="str">
        <f t="shared" si="4"/>
        <v/>
      </c>
      <c r="K295" s="22">
        <f t="shared" si="5"/>
        <v>0</v>
      </c>
      <c r="L295" s="22">
        <f t="shared" si="6"/>
        <v>0</v>
      </c>
      <c r="M295" s="23">
        <f t="shared" si="7"/>
        <v>0.0612</v>
      </c>
      <c r="N295" s="22">
        <f t="shared" si="8"/>
        <v>0</v>
      </c>
      <c r="O295" s="23">
        <f t="shared" si="9"/>
        <v>0.124</v>
      </c>
      <c r="P295" s="22">
        <f t="shared" si="10"/>
        <v>0</v>
      </c>
      <c r="Q295" s="20">
        <f>SUMIFS(Entradas!D:D,Entradas!B:B,B295,Entradas!C:C,C295) - SUMIFS(Vendas!E:E,Vendas!C:C,B295,Vendas!D:D,C295)</f>
        <v>0</v>
      </c>
    </row>
    <row r="296">
      <c r="A296" s="19" t="str">
        <f t="shared" si="1"/>
        <v>P296</v>
      </c>
      <c r="D296" s="19"/>
      <c r="E296" s="21"/>
      <c r="F296" s="22"/>
      <c r="G296" s="22"/>
      <c r="H296" s="22" t="str">
        <f t="shared" si="2"/>
        <v/>
      </c>
      <c r="I296" s="22">
        <f t="shared" si="3"/>
        <v>0</v>
      </c>
      <c r="J296" s="23" t="str">
        <f t="shared" si="4"/>
        <v/>
      </c>
      <c r="K296" s="22">
        <f t="shared" si="5"/>
        <v>0</v>
      </c>
      <c r="L296" s="22">
        <f t="shared" si="6"/>
        <v>0</v>
      </c>
      <c r="M296" s="23">
        <f t="shared" si="7"/>
        <v>0.0612</v>
      </c>
      <c r="N296" s="22">
        <f t="shared" si="8"/>
        <v>0</v>
      </c>
      <c r="O296" s="23">
        <f t="shared" si="9"/>
        <v>0.124</v>
      </c>
      <c r="P296" s="22">
        <f t="shared" si="10"/>
        <v>0</v>
      </c>
      <c r="Q296" s="20">
        <f>SUMIFS(Entradas!D:D,Entradas!B:B,B296,Entradas!C:C,C296) - SUMIFS(Vendas!E:E,Vendas!C:C,B296,Vendas!D:D,C296)</f>
        <v>0</v>
      </c>
    </row>
    <row r="297">
      <c r="A297" s="19" t="str">
        <f t="shared" si="1"/>
        <v>P297</v>
      </c>
      <c r="D297" s="19"/>
      <c r="E297" s="21"/>
      <c r="F297" s="22"/>
      <c r="G297" s="22"/>
      <c r="H297" s="22" t="str">
        <f t="shared" si="2"/>
        <v/>
      </c>
      <c r="I297" s="22">
        <f t="shared" si="3"/>
        <v>0</v>
      </c>
      <c r="J297" s="23" t="str">
        <f t="shared" si="4"/>
        <v/>
      </c>
      <c r="K297" s="22">
        <f t="shared" si="5"/>
        <v>0</v>
      </c>
      <c r="L297" s="22">
        <f t="shared" si="6"/>
        <v>0</v>
      </c>
      <c r="M297" s="23">
        <f t="shared" si="7"/>
        <v>0.0612</v>
      </c>
      <c r="N297" s="22">
        <f t="shared" si="8"/>
        <v>0</v>
      </c>
      <c r="O297" s="23">
        <f t="shared" si="9"/>
        <v>0.124</v>
      </c>
      <c r="P297" s="22">
        <f t="shared" si="10"/>
        <v>0</v>
      </c>
      <c r="Q297" s="20">
        <f>SUMIFS(Entradas!D:D,Entradas!B:B,B297,Entradas!C:C,C297) - SUMIFS(Vendas!E:E,Vendas!C:C,B297,Vendas!D:D,C297)</f>
        <v>0</v>
      </c>
    </row>
    <row r="298">
      <c r="A298" s="19" t="str">
        <f t="shared" si="1"/>
        <v>P298</v>
      </c>
      <c r="D298" s="19"/>
      <c r="E298" s="21"/>
      <c r="F298" s="22"/>
      <c r="G298" s="22"/>
      <c r="H298" s="22" t="str">
        <f t="shared" si="2"/>
        <v/>
      </c>
      <c r="I298" s="22">
        <f t="shared" si="3"/>
        <v>0</v>
      </c>
      <c r="J298" s="23" t="str">
        <f t="shared" si="4"/>
        <v/>
      </c>
      <c r="K298" s="22">
        <f t="shared" si="5"/>
        <v>0</v>
      </c>
      <c r="L298" s="22">
        <f t="shared" si="6"/>
        <v>0</v>
      </c>
      <c r="M298" s="23">
        <f t="shared" si="7"/>
        <v>0.0612</v>
      </c>
      <c r="N298" s="22">
        <f t="shared" si="8"/>
        <v>0</v>
      </c>
      <c r="O298" s="23">
        <f t="shared" si="9"/>
        <v>0.124</v>
      </c>
      <c r="P298" s="22">
        <f t="shared" si="10"/>
        <v>0</v>
      </c>
      <c r="Q298" s="20">
        <f>SUMIFS(Entradas!D:D,Entradas!B:B,B298,Entradas!C:C,C298) - SUMIFS(Vendas!E:E,Vendas!C:C,B298,Vendas!D:D,C298)</f>
        <v>0</v>
      </c>
    </row>
    <row r="299">
      <c r="A299" s="19" t="str">
        <f t="shared" si="1"/>
        <v>P299</v>
      </c>
      <c r="D299" s="19"/>
      <c r="E299" s="21"/>
      <c r="F299" s="22"/>
      <c r="G299" s="22"/>
      <c r="H299" s="22" t="str">
        <f t="shared" si="2"/>
        <v/>
      </c>
      <c r="I299" s="22">
        <f t="shared" si="3"/>
        <v>0</v>
      </c>
      <c r="J299" s="23" t="str">
        <f t="shared" si="4"/>
        <v/>
      </c>
      <c r="K299" s="22">
        <f t="shared" si="5"/>
        <v>0</v>
      </c>
      <c r="L299" s="22">
        <f t="shared" si="6"/>
        <v>0</v>
      </c>
      <c r="M299" s="23">
        <f t="shared" si="7"/>
        <v>0.0612</v>
      </c>
      <c r="N299" s="22">
        <f t="shared" si="8"/>
        <v>0</v>
      </c>
      <c r="O299" s="23">
        <f t="shared" si="9"/>
        <v>0.124</v>
      </c>
      <c r="P299" s="22">
        <f t="shared" si="10"/>
        <v>0</v>
      </c>
      <c r="Q299" s="20">
        <f>SUMIFS(Entradas!D:D,Entradas!B:B,B299,Entradas!C:C,C299) - SUMIFS(Vendas!E:E,Vendas!C:C,B299,Vendas!D:D,C299)</f>
        <v>0</v>
      </c>
    </row>
    <row r="300">
      <c r="A300" s="19" t="str">
        <f t="shared" si="1"/>
        <v>P300</v>
      </c>
      <c r="D300" s="19"/>
      <c r="E300" s="21"/>
      <c r="F300" s="22"/>
      <c r="G300" s="22"/>
      <c r="H300" s="22" t="str">
        <f t="shared" si="2"/>
        <v/>
      </c>
      <c r="I300" s="22">
        <f t="shared" si="3"/>
        <v>0</v>
      </c>
      <c r="J300" s="23" t="str">
        <f t="shared" si="4"/>
        <v/>
      </c>
      <c r="K300" s="22">
        <f t="shared" si="5"/>
        <v>0</v>
      </c>
      <c r="L300" s="22">
        <f t="shared" si="6"/>
        <v>0</v>
      </c>
      <c r="M300" s="23">
        <f t="shared" si="7"/>
        <v>0.0612</v>
      </c>
      <c r="N300" s="22">
        <f t="shared" si="8"/>
        <v>0</v>
      </c>
      <c r="O300" s="23">
        <f t="shared" si="9"/>
        <v>0.124</v>
      </c>
      <c r="P300" s="22">
        <f t="shared" si="10"/>
        <v>0</v>
      </c>
      <c r="Q300" s="20">
        <f>SUMIFS(Entradas!D:D,Entradas!B:B,B300,Entradas!C:C,C300) - SUMIFS(Vendas!E:E,Vendas!C:C,B300,Vendas!D:D,C300)</f>
        <v>0</v>
      </c>
    </row>
    <row r="301">
      <c r="A301" s="19" t="str">
        <f t="shared" si="1"/>
        <v>P301</v>
      </c>
      <c r="D301" s="19"/>
      <c r="E301" s="21"/>
      <c r="F301" s="22"/>
      <c r="G301" s="22"/>
      <c r="H301" s="22" t="str">
        <f t="shared" si="2"/>
        <v/>
      </c>
      <c r="I301" s="22">
        <f t="shared" si="3"/>
        <v>0</v>
      </c>
      <c r="J301" s="23" t="str">
        <f t="shared" si="4"/>
        <v/>
      </c>
      <c r="K301" s="22">
        <f t="shared" si="5"/>
        <v>0</v>
      </c>
      <c r="L301" s="22">
        <f t="shared" si="6"/>
        <v>0</v>
      </c>
      <c r="M301" s="23">
        <f t="shared" si="7"/>
        <v>0.0612</v>
      </c>
      <c r="N301" s="22">
        <f t="shared" si="8"/>
        <v>0</v>
      </c>
      <c r="O301" s="23">
        <f t="shared" si="9"/>
        <v>0.124</v>
      </c>
      <c r="P301" s="22">
        <f t="shared" si="10"/>
        <v>0</v>
      </c>
      <c r="Q301" s="20">
        <f>SUMIFS(Entradas!D:D,Entradas!B:B,B301,Entradas!C:C,C301) - SUMIFS(Vendas!E:E,Vendas!C:C,B301,Vendas!D:D,C301)</f>
        <v>0</v>
      </c>
    </row>
    <row r="302">
      <c r="A302" s="19" t="str">
        <f t="shared" si="1"/>
        <v>P302</v>
      </c>
      <c r="D302" s="19"/>
      <c r="E302" s="21"/>
      <c r="F302" s="22"/>
      <c r="G302" s="22"/>
      <c r="H302" s="22" t="str">
        <f t="shared" si="2"/>
        <v/>
      </c>
      <c r="I302" s="22">
        <f t="shared" si="3"/>
        <v>0</v>
      </c>
      <c r="J302" s="23" t="str">
        <f t="shared" si="4"/>
        <v/>
      </c>
      <c r="K302" s="22">
        <f t="shared" si="5"/>
        <v>0</v>
      </c>
      <c r="L302" s="22">
        <f t="shared" si="6"/>
        <v>0</v>
      </c>
      <c r="M302" s="23">
        <f t="shared" si="7"/>
        <v>0.0612</v>
      </c>
      <c r="N302" s="22">
        <f t="shared" si="8"/>
        <v>0</v>
      </c>
      <c r="O302" s="23">
        <f t="shared" si="9"/>
        <v>0.124</v>
      </c>
      <c r="P302" s="22">
        <f t="shared" si="10"/>
        <v>0</v>
      </c>
      <c r="Q302" s="20">
        <f>SUMIFS(Entradas!D:D,Entradas!B:B,B302,Entradas!C:C,C302) - SUMIFS(Vendas!E:E,Vendas!C:C,B302,Vendas!D:D,C302)</f>
        <v>0</v>
      </c>
    </row>
    <row r="303">
      <c r="A303" s="19" t="str">
        <f t="shared" si="1"/>
        <v>P303</v>
      </c>
      <c r="D303" s="19"/>
      <c r="E303" s="21"/>
      <c r="F303" s="22"/>
      <c r="G303" s="22"/>
      <c r="H303" s="22" t="str">
        <f t="shared" si="2"/>
        <v/>
      </c>
      <c r="I303" s="22">
        <f t="shared" si="3"/>
        <v>0</v>
      </c>
      <c r="J303" s="23" t="str">
        <f t="shared" si="4"/>
        <v/>
      </c>
      <c r="K303" s="22">
        <f t="shared" si="5"/>
        <v>0</v>
      </c>
      <c r="L303" s="22">
        <f t="shared" si="6"/>
        <v>0</v>
      </c>
      <c r="M303" s="23">
        <f t="shared" si="7"/>
        <v>0.0612</v>
      </c>
      <c r="N303" s="22">
        <f t="shared" si="8"/>
        <v>0</v>
      </c>
      <c r="O303" s="23">
        <f t="shared" si="9"/>
        <v>0.124</v>
      </c>
      <c r="P303" s="22">
        <f t="shared" si="10"/>
        <v>0</v>
      </c>
      <c r="Q303" s="20">
        <f>SUMIFS(Entradas!D:D,Entradas!B:B,B303,Entradas!C:C,C303) - SUMIFS(Vendas!E:E,Vendas!C:C,B303,Vendas!D:D,C303)</f>
        <v>0</v>
      </c>
    </row>
    <row r="304">
      <c r="A304" s="19" t="str">
        <f t="shared" si="1"/>
        <v>P304</v>
      </c>
      <c r="D304" s="19"/>
      <c r="E304" s="21"/>
      <c r="F304" s="22"/>
      <c r="G304" s="22"/>
      <c r="H304" s="22" t="str">
        <f t="shared" si="2"/>
        <v/>
      </c>
      <c r="I304" s="22">
        <f t="shared" si="3"/>
        <v>0</v>
      </c>
      <c r="J304" s="23" t="str">
        <f t="shared" si="4"/>
        <v/>
      </c>
      <c r="K304" s="22">
        <f t="shared" si="5"/>
        <v>0</v>
      </c>
      <c r="L304" s="22">
        <f t="shared" si="6"/>
        <v>0</v>
      </c>
      <c r="M304" s="23">
        <f t="shared" si="7"/>
        <v>0.0612</v>
      </c>
      <c r="N304" s="22">
        <f t="shared" si="8"/>
        <v>0</v>
      </c>
      <c r="O304" s="23">
        <f t="shared" si="9"/>
        <v>0.124</v>
      </c>
      <c r="P304" s="22">
        <f t="shared" si="10"/>
        <v>0</v>
      </c>
      <c r="Q304" s="20">
        <f>SUMIFS(Entradas!D:D,Entradas!B:B,B304,Entradas!C:C,C304) - SUMIFS(Vendas!E:E,Vendas!C:C,B304,Vendas!D:D,C304)</f>
        <v>0</v>
      </c>
    </row>
    <row r="305">
      <c r="A305" s="19" t="str">
        <f t="shared" si="1"/>
        <v>P305</v>
      </c>
      <c r="D305" s="19"/>
      <c r="E305" s="21"/>
      <c r="F305" s="22"/>
      <c r="G305" s="22"/>
      <c r="H305" s="22" t="str">
        <f t="shared" si="2"/>
        <v/>
      </c>
      <c r="I305" s="22">
        <f t="shared" si="3"/>
        <v>0</v>
      </c>
      <c r="J305" s="23" t="str">
        <f t="shared" si="4"/>
        <v/>
      </c>
      <c r="K305" s="22">
        <f t="shared" si="5"/>
        <v>0</v>
      </c>
      <c r="L305" s="22">
        <f t="shared" si="6"/>
        <v>0</v>
      </c>
      <c r="M305" s="23">
        <f t="shared" si="7"/>
        <v>0.0612</v>
      </c>
      <c r="N305" s="22">
        <f t="shared" si="8"/>
        <v>0</v>
      </c>
      <c r="O305" s="23">
        <f t="shared" si="9"/>
        <v>0.124</v>
      </c>
      <c r="P305" s="22">
        <f t="shared" si="10"/>
        <v>0</v>
      </c>
      <c r="Q305" s="20">
        <f>SUMIFS(Entradas!D:D,Entradas!B:B,B305,Entradas!C:C,C305) - SUMIFS(Vendas!E:E,Vendas!C:C,B305,Vendas!D:D,C305)</f>
        <v>0</v>
      </c>
    </row>
    <row r="306">
      <c r="A306" s="19" t="str">
        <f t="shared" si="1"/>
        <v>P306</v>
      </c>
      <c r="D306" s="19"/>
      <c r="E306" s="21"/>
      <c r="F306" s="22"/>
      <c r="G306" s="22"/>
      <c r="H306" s="22" t="str">
        <f t="shared" si="2"/>
        <v/>
      </c>
      <c r="I306" s="22">
        <f t="shared" si="3"/>
        <v>0</v>
      </c>
      <c r="J306" s="23" t="str">
        <f t="shared" si="4"/>
        <v/>
      </c>
      <c r="K306" s="22">
        <f t="shared" si="5"/>
        <v>0</v>
      </c>
      <c r="L306" s="22">
        <f t="shared" si="6"/>
        <v>0</v>
      </c>
      <c r="M306" s="23">
        <f t="shared" si="7"/>
        <v>0.0612</v>
      </c>
      <c r="N306" s="22">
        <f t="shared" si="8"/>
        <v>0</v>
      </c>
      <c r="O306" s="23">
        <f t="shared" si="9"/>
        <v>0.124</v>
      </c>
      <c r="P306" s="22">
        <f t="shared" si="10"/>
        <v>0</v>
      </c>
      <c r="Q306" s="20">
        <f>SUMIFS(Entradas!D:D,Entradas!B:B,B306,Entradas!C:C,C306) - SUMIFS(Vendas!E:E,Vendas!C:C,B306,Vendas!D:D,C306)</f>
        <v>0</v>
      </c>
    </row>
    <row r="307">
      <c r="A307" s="19" t="str">
        <f t="shared" si="1"/>
        <v>P307</v>
      </c>
      <c r="D307" s="19"/>
      <c r="E307" s="21"/>
      <c r="F307" s="22"/>
      <c r="G307" s="22"/>
      <c r="H307" s="22" t="str">
        <f t="shared" si="2"/>
        <v/>
      </c>
      <c r="I307" s="22">
        <f t="shared" si="3"/>
        <v>0</v>
      </c>
      <c r="J307" s="23" t="str">
        <f t="shared" si="4"/>
        <v/>
      </c>
      <c r="K307" s="22">
        <f t="shared" si="5"/>
        <v>0</v>
      </c>
      <c r="L307" s="22">
        <f t="shared" si="6"/>
        <v>0</v>
      </c>
      <c r="M307" s="23">
        <f t="shared" si="7"/>
        <v>0.0612</v>
      </c>
      <c r="N307" s="22">
        <f t="shared" si="8"/>
        <v>0</v>
      </c>
      <c r="O307" s="23">
        <f t="shared" si="9"/>
        <v>0.124</v>
      </c>
      <c r="P307" s="22">
        <f t="shared" si="10"/>
        <v>0</v>
      </c>
      <c r="Q307" s="20">
        <f>SUMIFS(Entradas!D:D,Entradas!B:B,B307,Entradas!C:C,C307) - SUMIFS(Vendas!E:E,Vendas!C:C,B307,Vendas!D:D,C307)</f>
        <v>0</v>
      </c>
    </row>
    <row r="308">
      <c r="A308" s="19" t="str">
        <f t="shared" si="1"/>
        <v>P308</v>
      </c>
      <c r="D308" s="19"/>
      <c r="E308" s="21"/>
      <c r="F308" s="22"/>
      <c r="G308" s="22"/>
      <c r="H308" s="22" t="str">
        <f t="shared" si="2"/>
        <v/>
      </c>
      <c r="I308" s="22">
        <f t="shared" si="3"/>
        <v>0</v>
      </c>
      <c r="J308" s="23" t="str">
        <f t="shared" si="4"/>
        <v/>
      </c>
      <c r="K308" s="22">
        <f t="shared" si="5"/>
        <v>0</v>
      </c>
      <c r="L308" s="22">
        <f t="shared" si="6"/>
        <v>0</v>
      </c>
      <c r="M308" s="23">
        <f t="shared" si="7"/>
        <v>0.0612</v>
      </c>
      <c r="N308" s="22">
        <f t="shared" si="8"/>
        <v>0</v>
      </c>
      <c r="O308" s="23">
        <f t="shared" si="9"/>
        <v>0.124</v>
      </c>
      <c r="P308" s="22">
        <f t="shared" si="10"/>
        <v>0</v>
      </c>
      <c r="Q308" s="20">
        <f>SUMIFS(Entradas!D:D,Entradas!B:B,B308,Entradas!C:C,C308) - SUMIFS(Vendas!E:E,Vendas!C:C,B308,Vendas!D:D,C308)</f>
        <v>0</v>
      </c>
    </row>
    <row r="309">
      <c r="A309" s="19" t="str">
        <f t="shared" si="1"/>
        <v>P309</v>
      </c>
      <c r="D309" s="19"/>
      <c r="E309" s="21"/>
      <c r="F309" s="22"/>
      <c r="G309" s="22"/>
      <c r="H309" s="22" t="str">
        <f t="shared" si="2"/>
        <v/>
      </c>
      <c r="I309" s="22">
        <f t="shared" si="3"/>
        <v>0</v>
      </c>
      <c r="J309" s="23" t="str">
        <f t="shared" si="4"/>
        <v/>
      </c>
      <c r="K309" s="22">
        <f t="shared" si="5"/>
        <v>0</v>
      </c>
      <c r="L309" s="22">
        <f t="shared" si="6"/>
        <v>0</v>
      </c>
      <c r="M309" s="23">
        <f t="shared" si="7"/>
        <v>0.0612</v>
      </c>
      <c r="N309" s="22">
        <f t="shared" si="8"/>
        <v>0</v>
      </c>
      <c r="O309" s="23">
        <f t="shared" si="9"/>
        <v>0.124</v>
      </c>
      <c r="P309" s="22">
        <f t="shared" si="10"/>
        <v>0</v>
      </c>
      <c r="Q309" s="20">
        <f>SUMIFS(Entradas!D:D,Entradas!B:B,B309,Entradas!C:C,C309) - SUMIFS(Vendas!E:E,Vendas!C:C,B309,Vendas!D:D,C309)</f>
        <v>0</v>
      </c>
    </row>
    <row r="310">
      <c r="A310" s="19" t="str">
        <f t="shared" si="1"/>
        <v>P310</v>
      </c>
      <c r="D310" s="19"/>
      <c r="E310" s="21"/>
      <c r="F310" s="22"/>
      <c r="G310" s="22"/>
      <c r="H310" s="22" t="str">
        <f t="shared" si="2"/>
        <v/>
      </c>
      <c r="I310" s="22">
        <f t="shared" si="3"/>
        <v>0</v>
      </c>
      <c r="J310" s="23" t="str">
        <f t="shared" si="4"/>
        <v/>
      </c>
      <c r="K310" s="22">
        <f t="shared" si="5"/>
        <v>0</v>
      </c>
      <c r="L310" s="22">
        <f t="shared" si="6"/>
        <v>0</v>
      </c>
      <c r="M310" s="23">
        <f t="shared" si="7"/>
        <v>0.0612</v>
      </c>
      <c r="N310" s="22">
        <f t="shared" si="8"/>
        <v>0</v>
      </c>
      <c r="O310" s="23">
        <f t="shared" si="9"/>
        <v>0.124</v>
      </c>
      <c r="P310" s="22">
        <f t="shared" si="10"/>
        <v>0</v>
      </c>
      <c r="Q310" s="20">
        <f>SUMIFS(Entradas!D:D,Entradas!B:B,B310,Entradas!C:C,C310) - SUMIFS(Vendas!E:E,Vendas!C:C,B310,Vendas!D:D,C310)</f>
        <v>0</v>
      </c>
    </row>
    <row r="311">
      <c r="A311" s="19" t="str">
        <f t="shared" si="1"/>
        <v>P311</v>
      </c>
      <c r="D311" s="19"/>
      <c r="E311" s="21"/>
      <c r="F311" s="22"/>
      <c r="G311" s="22"/>
      <c r="H311" s="22" t="str">
        <f t="shared" si="2"/>
        <v/>
      </c>
      <c r="I311" s="22">
        <f t="shared" si="3"/>
        <v>0</v>
      </c>
      <c r="J311" s="23" t="str">
        <f t="shared" si="4"/>
        <v/>
      </c>
      <c r="K311" s="22">
        <f t="shared" si="5"/>
        <v>0</v>
      </c>
      <c r="L311" s="22">
        <f t="shared" si="6"/>
        <v>0</v>
      </c>
      <c r="M311" s="23">
        <f t="shared" si="7"/>
        <v>0.0612</v>
      </c>
      <c r="N311" s="22">
        <f t="shared" si="8"/>
        <v>0</v>
      </c>
      <c r="O311" s="23">
        <f t="shared" si="9"/>
        <v>0.124</v>
      </c>
      <c r="P311" s="22">
        <f t="shared" si="10"/>
        <v>0</v>
      </c>
      <c r="Q311" s="20">
        <f>SUMIFS(Entradas!D:D,Entradas!B:B,B311,Entradas!C:C,C311) - SUMIFS(Vendas!E:E,Vendas!C:C,B311,Vendas!D:D,C311)</f>
        <v>0</v>
      </c>
    </row>
    <row r="312">
      <c r="A312" s="19" t="str">
        <f t="shared" si="1"/>
        <v>P312</v>
      </c>
      <c r="D312" s="19"/>
      <c r="E312" s="21"/>
      <c r="F312" s="22"/>
      <c r="G312" s="22"/>
      <c r="H312" s="22" t="str">
        <f t="shared" si="2"/>
        <v/>
      </c>
      <c r="I312" s="22">
        <f t="shared" si="3"/>
        <v>0</v>
      </c>
      <c r="J312" s="23" t="str">
        <f t="shared" si="4"/>
        <v/>
      </c>
      <c r="K312" s="22">
        <f t="shared" si="5"/>
        <v>0</v>
      </c>
      <c r="L312" s="22">
        <f t="shared" si="6"/>
        <v>0</v>
      </c>
      <c r="M312" s="23">
        <f t="shared" si="7"/>
        <v>0.0612</v>
      </c>
      <c r="N312" s="22">
        <f t="shared" si="8"/>
        <v>0</v>
      </c>
      <c r="O312" s="23">
        <f t="shared" si="9"/>
        <v>0.124</v>
      </c>
      <c r="P312" s="22">
        <f t="shared" si="10"/>
        <v>0</v>
      </c>
      <c r="Q312" s="20">
        <f>SUMIFS(Entradas!D:D,Entradas!B:B,B312,Entradas!C:C,C312) - SUMIFS(Vendas!E:E,Vendas!C:C,B312,Vendas!D:D,C312)</f>
        <v>0</v>
      </c>
    </row>
    <row r="313">
      <c r="A313" s="19" t="str">
        <f t="shared" si="1"/>
        <v>P313</v>
      </c>
      <c r="D313" s="19"/>
      <c r="E313" s="21"/>
      <c r="F313" s="22"/>
      <c r="G313" s="22"/>
      <c r="H313" s="22" t="str">
        <f t="shared" si="2"/>
        <v/>
      </c>
      <c r="I313" s="22">
        <f t="shared" si="3"/>
        <v>0</v>
      </c>
      <c r="J313" s="23" t="str">
        <f t="shared" si="4"/>
        <v/>
      </c>
      <c r="K313" s="22">
        <f t="shared" si="5"/>
        <v>0</v>
      </c>
      <c r="L313" s="22">
        <f t="shared" si="6"/>
        <v>0</v>
      </c>
      <c r="M313" s="23">
        <f t="shared" si="7"/>
        <v>0.0612</v>
      </c>
      <c r="N313" s="22">
        <f t="shared" si="8"/>
        <v>0</v>
      </c>
      <c r="O313" s="23">
        <f t="shared" si="9"/>
        <v>0.124</v>
      </c>
      <c r="P313" s="22">
        <f t="shared" si="10"/>
        <v>0</v>
      </c>
      <c r="Q313" s="20">
        <f>SUMIFS(Entradas!D:D,Entradas!B:B,B313,Entradas!C:C,C313) - SUMIFS(Vendas!E:E,Vendas!C:C,B313,Vendas!D:D,C313)</f>
        <v>0</v>
      </c>
    </row>
    <row r="314">
      <c r="A314" s="19" t="str">
        <f t="shared" si="1"/>
        <v>P314</v>
      </c>
      <c r="D314" s="19"/>
      <c r="E314" s="21"/>
      <c r="F314" s="22"/>
      <c r="G314" s="22"/>
      <c r="H314" s="22" t="str">
        <f t="shared" si="2"/>
        <v/>
      </c>
      <c r="I314" s="22">
        <f t="shared" si="3"/>
        <v>0</v>
      </c>
      <c r="J314" s="23" t="str">
        <f t="shared" si="4"/>
        <v/>
      </c>
      <c r="K314" s="22">
        <f t="shared" si="5"/>
        <v>0</v>
      </c>
      <c r="L314" s="22">
        <f t="shared" si="6"/>
        <v>0</v>
      </c>
      <c r="M314" s="23">
        <f t="shared" si="7"/>
        <v>0.0612</v>
      </c>
      <c r="N314" s="22">
        <f t="shared" si="8"/>
        <v>0</v>
      </c>
      <c r="O314" s="23">
        <f t="shared" si="9"/>
        <v>0.124</v>
      </c>
      <c r="P314" s="22">
        <f t="shared" si="10"/>
        <v>0</v>
      </c>
      <c r="Q314" s="20">
        <f>SUMIFS(Entradas!D:D,Entradas!B:B,B314,Entradas!C:C,C314) - SUMIFS(Vendas!E:E,Vendas!C:C,B314,Vendas!D:D,C314)</f>
        <v>0</v>
      </c>
    </row>
    <row r="315">
      <c r="A315" s="19" t="str">
        <f t="shared" si="1"/>
        <v>P315</v>
      </c>
      <c r="D315" s="19"/>
      <c r="E315" s="21"/>
      <c r="F315" s="22"/>
      <c r="G315" s="22"/>
      <c r="H315" s="22" t="str">
        <f t="shared" si="2"/>
        <v/>
      </c>
      <c r="I315" s="22">
        <f t="shared" si="3"/>
        <v>0</v>
      </c>
      <c r="J315" s="23" t="str">
        <f t="shared" si="4"/>
        <v/>
      </c>
      <c r="K315" s="22">
        <f t="shared" si="5"/>
        <v>0</v>
      </c>
      <c r="L315" s="22">
        <f t="shared" si="6"/>
        <v>0</v>
      </c>
      <c r="M315" s="23">
        <f t="shared" si="7"/>
        <v>0.0612</v>
      </c>
      <c r="N315" s="22">
        <f t="shared" si="8"/>
        <v>0</v>
      </c>
      <c r="O315" s="23">
        <f t="shared" si="9"/>
        <v>0.124</v>
      </c>
      <c r="P315" s="22">
        <f t="shared" si="10"/>
        <v>0</v>
      </c>
      <c r="Q315" s="20">
        <f>SUMIFS(Entradas!D:D,Entradas!B:B,B315,Entradas!C:C,C315) - SUMIFS(Vendas!E:E,Vendas!C:C,B315,Vendas!D:D,C315)</f>
        <v>0</v>
      </c>
    </row>
    <row r="316">
      <c r="A316" s="19" t="str">
        <f t="shared" si="1"/>
        <v>P316</v>
      </c>
      <c r="D316" s="19"/>
      <c r="E316" s="21"/>
      <c r="F316" s="22"/>
      <c r="G316" s="22"/>
      <c r="H316" s="22" t="str">
        <f t="shared" si="2"/>
        <v/>
      </c>
      <c r="I316" s="22">
        <f t="shared" si="3"/>
        <v>0</v>
      </c>
      <c r="J316" s="23" t="str">
        <f t="shared" si="4"/>
        <v/>
      </c>
      <c r="K316" s="22">
        <f t="shared" si="5"/>
        <v>0</v>
      </c>
      <c r="L316" s="22">
        <f t="shared" si="6"/>
        <v>0</v>
      </c>
      <c r="M316" s="23">
        <f t="shared" si="7"/>
        <v>0.0612</v>
      </c>
      <c r="N316" s="22">
        <f t="shared" si="8"/>
        <v>0</v>
      </c>
      <c r="O316" s="23">
        <f t="shared" si="9"/>
        <v>0.124</v>
      </c>
      <c r="P316" s="22">
        <f t="shared" si="10"/>
        <v>0</v>
      </c>
      <c r="Q316" s="20">
        <f>SUMIFS(Entradas!D:D,Entradas!B:B,B316,Entradas!C:C,C316) - SUMIFS(Vendas!E:E,Vendas!C:C,B316,Vendas!D:D,C316)</f>
        <v>0</v>
      </c>
    </row>
    <row r="317">
      <c r="A317" s="19" t="str">
        <f t="shared" si="1"/>
        <v>P317</v>
      </c>
      <c r="D317" s="19"/>
      <c r="E317" s="21"/>
      <c r="F317" s="22"/>
      <c r="G317" s="22"/>
      <c r="H317" s="22" t="str">
        <f t="shared" si="2"/>
        <v/>
      </c>
      <c r="I317" s="22">
        <f t="shared" si="3"/>
        <v>0</v>
      </c>
      <c r="J317" s="23" t="str">
        <f t="shared" si="4"/>
        <v/>
      </c>
      <c r="K317" s="22">
        <f t="shared" si="5"/>
        <v>0</v>
      </c>
      <c r="L317" s="22">
        <f t="shared" si="6"/>
        <v>0</v>
      </c>
      <c r="M317" s="23">
        <f t="shared" si="7"/>
        <v>0.0612</v>
      </c>
      <c r="N317" s="22">
        <f t="shared" si="8"/>
        <v>0</v>
      </c>
      <c r="O317" s="23">
        <f t="shared" si="9"/>
        <v>0.124</v>
      </c>
      <c r="P317" s="22">
        <f t="shared" si="10"/>
        <v>0</v>
      </c>
      <c r="Q317" s="20">
        <f>SUMIFS(Entradas!D:D,Entradas!B:B,B317,Entradas!C:C,C317) - SUMIFS(Vendas!E:E,Vendas!C:C,B317,Vendas!D:D,C317)</f>
        <v>0</v>
      </c>
    </row>
    <row r="318">
      <c r="A318" s="19" t="str">
        <f t="shared" si="1"/>
        <v>P318</v>
      </c>
      <c r="D318" s="19"/>
      <c r="E318" s="21"/>
      <c r="F318" s="22"/>
      <c r="G318" s="22"/>
      <c r="H318" s="22" t="str">
        <f t="shared" si="2"/>
        <v/>
      </c>
      <c r="I318" s="22">
        <f t="shared" si="3"/>
        <v>0</v>
      </c>
      <c r="J318" s="23" t="str">
        <f t="shared" si="4"/>
        <v/>
      </c>
      <c r="K318" s="22">
        <f t="shared" si="5"/>
        <v>0</v>
      </c>
      <c r="L318" s="22">
        <f t="shared" si="6"/>
        <v>0</v>
      </c>
      <c r="M318" s="23">
        <f t="shared" si="7"/>
        <v>0.0612</v>
      </c>
      <c r="N318" s="22">
        <f t="shared" si="8"/>
        <v>0</v>
      </c>
      <c r="O318" s="23">
        <f t="shared" si="9"/>
        <v>0.124</v>
      </c>
      <c r="P318" s="22">
        <f t="shared" si="10"/>
        <v>0</v>
      </c>
      <c r="Q318" s="20">
        <f>SUMIFS(Entradas!D:D,Entradas!B:B,B318,Entradas!C:C,C318) - SUMIFS(Vendas!E:E,Vendas!C:C,B318,Vendas!D:D,C318)</f>
        <v>0</v>
      </c>
    </row>
    <row r="319">
      <c r="A319" s="19" t="str">
        <f t="shared" si="1"/>
        <v>P319</v>
      </c>
      <c r="D319" s="19"/>
      <c r="E319" s="21"/>
      <c r="F319" s="22"/>
      <c r="G319" s="22"/>
      <c r="H319" s="22" t="str">
        <f t="shared" si="2"/>
        <v/>
      </c>
      <c r="I319" s="22">
        <f t="shared" si="3"/>
        <v>0</v>
      </c>
      <c r="J319" s="23" t="str">
        <f t="shared" si="4"/>
        <v/>
      </c>
      <c r="K319" s="22">
        <f t="shared" si="5"/>
        <v>0</v>
      </c>
      <c r="L319" s="22">
        <f t="shared" si="6"/>
        <v>0</v>
      </c>
      <c r="M319" s="23">
        <f t="shared" si="7"/>
        <v>0.0612</v>
      </c>
      <c r="N319" s="22">
        <f t="shared" si="8"/>
        <v>0</v>
      </c>
      <c r="O319" s="23">
        <f t="shared" si="9"/>
        <v>0.124</v>
      </c>
      <c r="P319" s="22">
        <f t="shared" si="10"/>
        <v>0</v>
      </c>
      <c r="Q319" s="20">
        <f>SUMIFS(Entradas!D:D,Entradas!B:B,B319,Entradas!C:C,C319) - SUMIFS(Vendas!E:E,Vendas!C:C,B319,Vendas!D:D,C319)</f>
        <v>0</v>
      </c>
    </row>
    <row r="320">
      <c r="A320" s="19" t="str">
        <f t="shared" si="1"/>
        <v>P320</v>
      </c>
      <c r="D320" s="19"/>
      <c r="E320" s="21"/>
      <c r="F320" s="22"/>
      <c r="G320" s="22"/>
      <c r="H320" s="22" t="str">
        <f t="shared" si="2"/>
        <v/>
      </c>
      <c r="I320" s="22">
        <f t="shared" si="3"/>
        <v>0</v>
      </c>
      <c r="J320" s="23" t="str">
        <f t="shared" si="4"/>
        <v/>
      </c>
      <c r="K320" s="22">
        <f t="shared" si="5"/>
        <v>0</v>
      </c>
      <c r="L320" s="22">
        <f t="shared" si="6"/>
        <v>0</v>
      </c>
      <c r="M320" s="23">
        <f t="shared" si="7"/>
        <v>0.0612</v>
      </c>
      <c r="N320" s="22">
        <f t="shared" si="8"/>
        <v>0</v>
      </c>
      <c r="O320" s="23">
        <f t="shared" si="9"/>
        <v>0.124</v>
      </c>
      <c r="P320" s="22">
        <f t="shared" si="10"/>
        <v>0</v>
      </c>
      <c r="Q320" s="20">
        <f>SUMIFS(Entradas!D:D,Entradas!B:B,B320,Entradas!C:C,C320) - SUMIFS(Vendas!E:E,Vendas!C:C,B320,Vendas!D:D,C320)</f>
        <v>0</v>
      </c>
    </row>
    <row r="321">
      <c r="A321" s="19" t="str">
        <f t="shared" si="1"/>
        <v>P321</v>
      </c>
      <c r="D321" s="19"/>
      <c r="E321" s="21"/>
      <c r="F321" s="22"/>
      <c r="G321" s="22"/>
      <c r="H321" s="22" t="str">
        <f t="shared" si="2"/>
        <v/>
      </c>
      <c r="I321" s="22">
        <f t="shared" si="3"/>
        <v>0</v>
      </c>
      <c r="J321" s="23" t="str">
        <f t="shared" si="4"/>
        <v/>
      </c>
      <c r="K321" s="22">
        <f t="shared" si="5"/>
        <v>0</v>
      </c>
      <c r="L321" s="22">
        <f t="shared" si="6"/>
        <v>0</v>
      </c>
      <c r="M321" s="23">
        <f t="shared" si="7"/>
        <v>0.0612</v>
      </c>
      <c r="N321" s="22">
        <f t="shared" si="8"/>
        <v>0</v>
      </c>
      <c r="O321" s="23">
        <f t="shared" si="9"/>
        <v>0.124</v>
      </c>
      <c r="P321" s="22">
        <f t="shared" si="10"/>
        <v>0</v>
      </c>
      <c r="Q321" s="20">
        <f>SUMIFS(Entradas!D:D,Entradas!B:B,B321,Entradas!C:C,C321) - SUMIFS(Vendas!E:E,Vendas!C:C,B321,Vendas!D:D,C321)</f>
        <v>0</v>
      </c>
    </row>
    <row r="322">
      <c r="A322" s="19" t="str">
        <f t="shared" si="1"/>
        <v>P322</v>
      </c>
      <c r="D322" s="19"/>
      <c r="E322" s="21"/>
      <c r="F322" s="22"/>
      <c r="G322" s="22"/>
      <c r="H322" s="22" t="str">
        <f t="shared" si="2"/>
        <v/>
      </c>
      <c r="I322" s="22">
        <f t="shared" si="3"/>
        <v>0</v>
      </c>
      <c r="J322" s="23" t="str">
        <f t="shared" si="4"/>
        <v/>
      </c>
      <c r="K322" s="22">
        <f t="shared" si="5"/>
        <v>0</v>
      </c>
      <c r="L322" s="22">
        <f t="shared" si="6"/>
        <v>0</v>
      </c>
      <c r="M322" s="23">
        <f t="shared" si="7"/>
        <v>0.0612</v>
      </c>
      <c r="N322" s="22">
        <f t="shared" si="8"/>
        <v>0</v>
      </c>
      <c r="O322" s="23">
        <f t="shared" si="9"/>
        <v>0.124</v>
      </c>
      <c r="P322" s="22">
        <f t="shared" si="10"/>
        <v>0</v>
      </c>
      <c r="Q322" s="20">
        <f>SUMIFS(Entradas!D:D,Entradas!B:B,B322,Entradas!C:C,C322) - SUMIFS(Vendas!E:E,Vendas!C:C,B322,Vendas!D:D,C322)</f>
        <v>0</v>
      </c>
    </row>
    <row r="323">
      <c r="A323" s="19" t="str">
        <f t="shared" si="1"/>
        <v>P323</v>
      </c>
      <c r="D323" s="19"/>
      <c r="E323" s="21"/>
      <c r="F323" s="22"/>
      <c r="G323" s="22"/>
      <c r="H323" s="22" t="str">
        <f t="shared" si="2"/>
        <v/>
      </c>
      <c r="I323" s="22">
        <f t="shared" si="3"/>
        <v>0</v>
      </c>
      <c r="J323" s="23" t="str">
        <f t="shared" si="4"/>
        <v/>
      </c>
      <c r="K323" s="22">
        <f t="shared" si="5"/>
        <v>0</v>
      </c>
      <c r="L323" s="22">
        <f t="shared" si="6"/>
        <v>0</v>
      </c>
      <c r="M323" s="23">
        <f t="shared" si="7"/>
        <v>0.0612</v>
      </c>
      <c r="N323" s="22">
        <f t="shared" si="8"/>
        <v>0</v>
      </c>
      <c r="O323" s="23">
        <f t="shared" si="9"/>
        <v>0.124</v>
      </c>
      <c r="P323" s="22">
        <f t="shared" si="10"/>
        <v>0</v>
      </c>
      <c r="Q323" s="20">
        <f>SUMIFS(Entradas!D:D,Entradas!B:B,B323,Entradas!C:C,C323) - SUMIFS(Vendas!E:E,Vendas!C:C,B323,Vendas!D:D,C323)</f>
        <v>0</v>
      </c>
    </row>
    <row r="324">
      <c r="A324" s="19" t="str">
        <f t="shared" si="1"/>
        <v>P324</v>
      </c>
      <c r="D324" s="19"/>
      <c r="E324" s="21"/>
      <c r="F324" s="22"/>
      <c r="G324" s="22"/>
      <c r="H324" s="22" t="str">
        <f t="shared" si="2"/>
        <v/>
      </c>
      <c r="I324" s="22">
        <f t="shared" si="3"/>
        <v>0</v>
      </c>
      <c r="J324" s="23" t="str">
        <f t="shared" si="4"/>
        <v/>
      </c>
      <c r="K324" s="22">
        <f t="shared" si="5"/>
        <v>0</v>
      </c>
      <c r="L324" s="22">
        <f t="shared" si="6"/>
        <v>0</v>
      </c>
      <c r="M324" s="23">
        <f t="shared" si="7"/>
        <v>0.0612</v>
      </c>
      <c r="N324" s="22">
        <f t="shared" si="8"/>
        <v>0</v>
      </c>
      <c r="O324" s="23">
        <f t="shared" si="9"/>
        <v>0.124</v>
      </c>
      <c r="P324" s="22">
        <f t="shared" si="10"/>
        <v>0</v>
      </c>
      <c r="Q324" s="20">
        <f>SUMIFS(Entradas!D:D,Entradas!B:B,B324,Entradas!C:C,C324) - SUMIFS(Vendas!E:E,Vendas!C:C,B324,Vendas!D:D,C324)</f>
        <v>0</v>
      </c>
    </row>
    <row r="325">
      <c r="A325" s="19" t="str">
        <f t="shared" si="1"/>
        <v>P325</v>
      </c>
      <c r="D325" s="19"/>
      <c r="E325" s="21"/>
      <c r="F325" s="22"/>
      <c r="G325" s="22"/>
      <c r="H325" s="22" t="str">
        <f t="shared" si="2"/>
        <v/>
      </c>
      <c r="I325" s="22">
        <f t="shared" si="3"/>
        <v>0</v>
      </c>
      <c r="J325" s="23" t="str">
        <f t="shared" si="4"/>
        <v/>
      </c>
      <c r="K325" s="22">
        <f t="shared" si="5"/>
        <v>0</v>
      </c>
      <c r="L325" s="22">
        <f t="shared" si="6"/>
        <v>0</v>
      </c>
      <c r="M325" s="23">
        <f t="shared" si="7"/>
        <v>0.0612</v>
      </c>
      <c r="N325" s="22">
        <f t="shared" si="8"/>
        <v>0</v>
      </c>
      <c r="O325" s="23">
        <f t="shared" si="9"/>
        <v>0.124</v>
      </c>
      <c r="P325" s="22">
        <f t="shared" si="10"/>
        <v>0</v>
      </c>
      <c r="Q325" s="20">
        <f>SUMIFS(Entradas!D:D,Entradas!B:B,B325,Entradas!C:C,C325) - SUMIFS(Vendas!E:E,Vendas!C:C,B325,Vendas!D:D,C325)</f>
        <v>0</v>
      </c>
    </row>
    <row r="326">
      <c r="A326" s="19" t="str">
        <f t="shared" si="1"/>
        <v>P326</v>
      </c>
      <c r="D326" s="19"/>
      <c r="E326" s="21"/>
      <c r="F326" s="22"/>
      <c r="G326" s="22"/>
      <c r="H326" s="22" t="str">
        <f t="shared" si="2"/>
        <v/>
      </c>
      <c r="I326" s="22">
        <f t="shared" si="3"/>
        <v>0</v>
      </c>
      <c r="J326" s="23" t="str">
        <f t="shared" si="4"/>
        <v/>
      </c>
      <c r="K326" s="22">
        <f t="shared" si="5"/>
        <v>0</v>
      </c>
      <c r="L326" s="22">
        <f t="shared" si="6"/>
        <v>0</v>
      </c>
      <c r="M326" s="23">
        <f t="shared" si="7"/>
        <v>0.0612</v>
      </c>
      <c r="N326" s="22">
        <f t="shared" si="8"/>
        <v>0</v>
      </c>
      <c r="O326" s="23">
        <f t="shared" si="9"/>
        <v>0.124</v>
      </c>
      <c r="P326" s="22">
        <f t="shared" si="10"/>
        <v>0</v>
      </c>
      <c r="Q326" s="20">
        <f>SUMIFS(Entradas!D:D,Entradas!B:B,B326,Entradas!C:C,C326) - SUMIFS(Vendas!E:E,Vendas!C:C,B326,Vendas!D:D,C326)</f>
        <v>0</v>
      </c>
    </row>
    <row r="327">
      <c r="A327" s="19" t="str">
        <f t="shared" si="1"/>
        <v>P327</v>
      </c>
      <c r="D327" s="19"/>
      <c r="E327" s="21"/>
      <c r="F327" s="22"/>
      <c r="G327" s="22"/>
      <c r="H327" s="22" t="str">
        <f t="shared" si="2"/>
        <v/>
      </c>
      <c r="I327" s="22">
        <f t="shared" si="3"/>
        <v>0</v>
      </c>
      <c r="J327" s="23" t="str">
        <f t="shared" si="4"/>
        <v/>
      </c>
      <c r="K327" s="22">
        <f t="shared" si="5"/>
        <v>0</v>
      </c>
      <c r="L327" s="22">
        <f t="shared" si="6"/>
        <v>0</v>
      </c>
      <c r="M327" s="23">
        <f t="shared" si="7"/>
        <v>0.0612</v>
      </c>
      <c r="N327" s="22">
        <f t="shared" si="8"/>
        <v>0</v>
      </c>
      <c r="O327" s="23">
        <f t="shared" si="9"/>
        <v>0.124</v>
      </c>
      <c r="P327" s="22">
        <f t="shared" si="10"/>
        <v>0</v>
      </c>
      <c r="Q327" s="20">
        <f>SUMIFS(Entradas!D:D,Entradas!B:B,B327,Entradas!C:C,C327) - SUMIFS(Vendas!E:E,Vendas!C:C,B327,Vendas!D:D,C327)</f>
        <v>0</v>
      </c>
    </row>
    <row r="328">
      <c r="A328" s="19" t="str">
        <f t="shared" si="1"/>
        <v>P328</v>
      </c>
      <c r="D328" s="19"/>
      <c r="E328" s="21"/>
      <c r="F328" s="22"/>
      <c r="G328" s="22"/>
      <c r="H328" s="22" t="str">
        <f t="shared" si="2"/>
        <v/>
      </c>
      <c r="I328" s="22">
        <f t="shared" si="3"/>
        <v>0</v>
      </c>
      <c r="J328" s="23" t="str">
        <f t="shared" si="4"/>
        <v/>
      </c>
      <c r="K328" s="22">
        <f t="shared" si="5"/>
        <v>0</v>
      </c>
      <c r="L328" s="22">
        <f t="shared" si="6"/>
        <v>0</v>
      </c>
      <c r="M328" s="23">
        <f t="shared" si="7"/>
        <v>0.0612</v>
      </c>
      <c r="N328" s="22">
        <f t="shared" si="8"/>
        <v>0</v>
      </c>
      <c r="O328" s="23">
        <f t="shared" si="9"/>
        <v>0.124</v>
      </c>
      <c r="P328" s="22">
        <f t="shared" si="10"/>
        <v>0</v>
      </c>
      <c r="Q328" s="20">
        <f>SUMIFS(Entradas!D:D,Entradas!B:B,B328,Entradas!C:C,C328) - SUMIFS(Vendas!E:E,Vendas!C:C,B328,Vendas!D:D,C328)</f>
        <v>0</v>
      </c>
    </row>
    <row r="329">
      <c r="A329" s="19" t="str">
        <f t="shared" si="1"/>
        <v>P329</v>
      </c>
      <c r="D329" s="19"/>
      <c r="E329" s="21"/>
      <c r="F329" s="22"/>
      <c r="G329" s="22"/>
      <c r="H329" s="22" t="str">
        <f t="shared" si="2"/>
        <v/>
      </c>
      <c r="I329" s="22">
        <f t="shared" si="3"/>
        <v>0</v>
      </c>
      <c r="J329" s="23" t="str">
        <f t="shared" si="4"/>
        <v/>
      </c>
      <c r="K329" s="22">
        <f t="shared" si="5"/>
        <v>0</v>
      </c>
      <c r="L329" s="22">
        <f t="shared" si="6"/>
        <v>0</v>
      </c>
      <c r="M329" s="23">
        <f t="shared" si="7"/>
        <v>0.0612</v>
      </c>
      <c r="N329" s="22">
        <f t="shared" si="8"/>
        <v>0</v>
      </c>
      <c r="O329" s="23">
        <f t="shared" si="9"/>
        <v>0.124</v>
      </c>
      <c r="P329" s="22">
        <f t="shared" si="10"/>
        <v>0</v>
      </c>
      <c r="Q329" s="20">
        <f>SUMIFS(Entradas!D:D,Entradas!B:B,B329,Entradas!C:C,C329) - SUMIFS(Vendas!E:E,Vendas!C:C,B329,Vendas!D:D,C329)</f>
        <v>0</v>
      </c>
    </row>
    <row r="330">
      <c r="A330" s="19" t="str">
        <f t="shared" si="1"/>
        <v>P330</v>
      </c>
      <c r="D330" s="19"/>
      <c r="E330" s="21"/>
      <c r="F330" s="22"/>
      <c r="G330" s="22"/>
      <c r="H330" s="22" t="str">
        <f t="shared" si="2"/>
        <v/>
      </c>
      <c r="I330" s="22">
        <f t="shared" si="3"/>
        <v>0</v>
      </c>
      <c r="J330" s="23" t="str">
        <f t="shared" si="4"/>
        <v/>
      </c>
      <c r="K330" s="22">
        <f t="shared" si="5"/>
        <v>0</v>
      </c>
      <c r="L330" s="22">
        <f t="shared" si="6"/>
        <v>0</v>
      </c>
      <c r="M330" s="23">
        <f t="shared" si="7"/>
        <v>0.0612</v>
      </c>
      <c r="N330" s="22">
        <f t="shared" si="8"/>
        <v>0</v>
      </c>
      <c r="O330" s="23">
        <f t="shared" si="9"/>
        <v>0.124</v>
      </c>
      <c r="P330" s="22">
        <f t="shared" si="10"/>
        <v>0</v>
      </c>
      <c r="Q330" s="20">
        <f>SUMIFS(Entradas!D:D,Entradas!B:B,B330,Entradas!C:C,C330) - SUMIFS(Vendas!E:E,Vendas!C:C,B330,Vendas!D:D,C330)</f>
        <v>0</v>
      </c>
    </row>
    <row r="331">
      <c r="A331" s="19" t="str">
        <f t="shared" si="1"/>
        <v>P331</v>
      </c>
      <c r="D331" s="19"/>
      <c r="E331" s="21"/>
      <c r="F331" s="22"/>
      <c r="G331" s="22"/>
      <c r="H331" s="22" t="str">
        <f t="shared" si="2"/>
        <v/>
      </c>
      <c r="I331" s="22">
        <f t="shared" si="3"/>
        <v>0</v>
      </c>
      <c r="J331" s="23" t="str">
        <f t="shared" si="4"/>
        <v/>
      </c>
      <c r="K331" s="22">
        <f t="shared" si="5"/>
        <v>0</v>
      </c>
      <c r="L331" s="22">
        <f t="shared" si="6"/>
        <v>0</v>
      </c>
      <c r="M331" s="23">
        <f t="shared" si="7"/>
        <v>0.0612</v>
      </c>
      <c r="N331" s="22">
        <f t="shared" si="8"/>
        <v>0</v>
      </c>
      <c r="O331" s="23">
        <f t="shared" si="9"/>
        <v>0.124</v>
      </c>
      <c r="P331" s="22">
        <f t="shared" si="10"/>
        <v>0</v>
      </c>
      <c r="Q331" s="20">
        <f>SUMIFS(Entradas!D:D,Entradas!B:B,B331,Entradas!C:C,C331) - SUMIFS(Vendas!E:E,Vendas!C:C,B331,Vendas!D:D,C331)</f>
        <v>0</v>
      </c>
    </row>
    <row r="332">
      <c r="A332" s="19" t="str">
        <f t="shared" si="1"/>
        <v>P332</v>
      </c>
      <c r="D332" s="19"/>
      <c r="E332" s="21"/>
      <c r="F332" s="22"/>
      <c r="G332" s="22"/>
      <c r="H332" s="22" t="str">
        <f t="shared" si="2"/>
        <v/>
      </c>
      <c r="I332" s="22">
        <f t="shared" si="3"/>
        <v>0</v>
      </c>
      <c r="J332" s="23" t="str">
        <f t="shared" si="4"/>
        <v/>
      </c>
      <c r="K332" s="22">
        <f t="shared" si="5"/>
        <v>0</v>
      </c>
      <c r="L332" s="22">
        <f t="shared" si="6"/>
        <v>0</v>
      </c>
      <c r="M332" s="23">
        <f t="shared" si="7"/>
        <v>0.0612</v>
      </c>
      <c r="N332" s="22">
        <f t="shared" si="8"/>
        <v>0</v>
      </c>
      <c r="O332" s="23">
        <f t="shared" si="9"/>
        <v>0.124</v>
      </c>
      <c r="P332" s="22">
        <f t="shared" si="10"/>
        <v>0</v>
      </c>
      <c r="Q332" s="20">
        <f>SUMIFS(Entradas!D:D,Entradas!B:B,B332,Entradas!C:C,C332) - SUMIFS(Vendas!E:E,Vendas!C:C,B332,Vendas!D:D,C332)</f>
        <v>0</v>
      </c>
    </row>
    <row r="333">
      <c r="A333" s="19" t="str">
        <f t="shared" si="1"/>
        <v>P333</v>
      </c>
      <c r="D333" s="19"/>
      <c r="E333" s="21"/>
      <c r="F333" s="22"/>
      <c r="G333" s="22"/>
      <c r="H333" s="22" t="str">
        <f t="shared" si="2"/>
        <v/>
      </c>
      <c r="I333" s="22">
        <f t="shared" si="3"/>
        <v>0</v>
      </c>
      <c r="J333" s="23" t="str">
        <f t="shared" si="4"/>
        <v/>
      </c>
      <c r="K333" s="22">
        <f t="shared" si="5"/>
        <v>0</v>
      </c>
      <c r="L333" s="22">
        <f t="shared" si="6"/>
        <v>0</v>
      </c>
      <c r="M333" s="23">
        <f t="shared" si="7"/>
        <v>0.0612</v>
      </c>
      <c r="N333" s="22">
        <f t="shared" si="8"/>
        <v>0</v>
      </c>
      <c r="O333" s="23">
        <f t="shared" si="9"/>
        <v>0.124</v>
      </c>
      <c r="P333" s="22">
        <f t="shared" si="10"/>
        <v>0</v>
      </c>
      <c r="Q333" s="20">
        <f>SUMIFS(Entradas!D:D,Entradas!B:B,B333,Entradas!C:C,C333) - SUMIFS(Vendas!E:E,Vendas!C:C,B333,Vendas!D:D,C333)</f>
        <v>0</v>
      </c>
    </row>
    <row r="334">
      <c r="A334" s="19" t="str">
        <f t="shared" si="1"/>
        <v>P334</v>
      </c>
      <c r="D334" s="19"/>
      <c r="E334" s="21"/>
      <c r="F334" s="22"/>
      <c r="G334" s="22"/>
      <c r="H334" s="22" t="str">
        <f t="shared" si="2"/>
        <v/>
      </c>
      <c r="I334" s="22">
        <f t="shared" si="3"/>
        <v>0</v>
      </c>
      <c r="J334" s="23" t="str">
        <f t="shared" si="4"/>
        <v/>
      </c>
      <c r="K334" s="22">
        <f t="shared" si="5"/>
        <v>0</v>
      </c>
      <c r="L334" s="22">
        <f t="shared" si="6"/>
        <v>0</v>
      </c>
      <c r="M334" s="23">
        <f t="shared" si="7"/>
        <v>0.0612</v>
      </c>
      <c r="N334" s="22">
        <f t="shared" si="8"/>
        <v>0</v>
      </c>
      <c r="O334" s="23">
        <f t="shared" si="9"/>
        <v>0.124</v>
      </c>
      <c r="P334" s="22">
        <f t="shared" si="10"/>
        <v>0</v>
      </c>
      <c r="Q334" s="20">
        <f>SUMIFS(Entradas!D:D,Entradas!B:B,B334,Entradas!C:C,C334) - SUMIFS(Vendas!E:E,Vendas!C:C,B334,Vendas!D:D,C334)</f>
        <v>0</v>
      </c>
    </row>
    <row r="335">
      <c r="A335" s="19" t="str">
        <f t="shared" si="1"/>
        <v>P335</v>
      </c>
      <c r="D335" s="19"/>
      <c r="E335" s="21"/>
      <c r="F335" s="22"/>
      <c r="G335" s="22"/>
      <c r="H335" s="22" t="str">
        <f t="shared" si="2"/>
        <v/>
      </c>
      <c r="I335" s="22">
        <f t="shared" si="3"/>
        <v>0</v>
      </c>
      <c r="J335" s="23" t="str">
        <f t="shared" si="4"/>
        <v/>
      </c>
      <c r="K335" s="22">
        <f t="shared" si="5"/>
        <v>0</v>
      </c>
      <c r="L335" s="22">
        <f t="shared" si="6"/>
        <v>0</v>
      </c>
      <c r="M335" s="23">
        <f t="shared" si="7"/>
        <v>0.0612</v>
      </c>
      <c r="N335" s="22">
        <f t="shared" si="8"/>
        <v>0</v>
      </c>
      <c r="O335" s="23">
        <f t="shared" si="9"/>
        <v>0.124</v>
      </c>
      <c r="P335" s="22">
        <f t="shared" si="10"/>
        <v>0</v>
      </c>
      <c r="Q335" s="20">
        <f>SUMIFS(Entradas!D:D,Entradas!B:B,B335,Entradas!C:C,C335) - SUMIFS(Vendas!E:E,Vendas!C:C,B335,Vendas!D:D,C335)</f>
        <v>0</v>
      </c>
    </row>
    <row r="336">
      <c r="A336" s="19" t="str">
        <f t="shared" si="1"/>
        <v>P336</v>
      </c>
      <c r="D336" s="19"/>
      <c r="E336" s="21"/>
      <c r="F336" s="22"/>
      <c r="G336" s="22"/>
      <c r="H336" s="22" t="str">
        <f t="shared" si="2"/>
        <v/>
      </c>
      <c r="I336" s="22">
        <f t="shared" si="3"/>
        <v>0</v>
      </c>
      <c r="J336" s="23" t="str">
        <f t="shared" si="4"/>
        <v/>
      </c>
      <c r="K336" s="22">
        <f t="shared" si="5"/>
        <v>0</v>
      </c>
      <c r="L336" s="22">
        <f t="shared" si="6"/>
        <v>0</v>
      </c>
      <c r="M336" s="23">
        <f t="shared" si="7"/>
        <v>0.0612</v>
      </c>
      <c r="N336" s="22">
        <f t="shared" si="8"/>
        <v>0</v>
      </c>
      <c r="O336" s="23">
        <f t="shared" si="9"/>
        <v>0.124</v>
      </c>
      <c r="P336" s="22">
        <f t="shared" si="10"/>
        <v>0</v>
      </c>
      <c r="Q336" s="20">
        <f>SUMIFS(Entradas!D:D,Entradas!B:B,B336,Entradas!C:C,C336) - SUMIFS(Vendas!E:E,Vendas!C:C,B336,Vendas!D:D,C336)</f>
        <v>0</v>
      </c>
    </row>
    <row r="337">
      <c r="A337" s="19" t="str">
        <f t="shared" si="1"/>
        <v>P337</v>
      </c>
      <c r="D337" s="19"/>
      <c r="E337" s="21"/>
      <c r="F337" s="22"/>
      <c r="G337" s="22"/>
      <c r="H337" s="22" t="str">
        <f t="shared" si="2"/>
        <v/>
      </c>
      <c r="I337" s="22">
        <f t="shared" si="3"/>
        <v>0</v>
      </c>
      <c r="J337" s="23" t="str">
        <f t="shared" si="4"/>
        <v/>
      </c>
      <c r="K337" s="22">
        <f t="shared" si="5"/>
        <v>0</v>
      </c>
      <c r="L337" s="22">
        <f t="shared" si="6"/>
        <v>0</v>
      </c>
      <c r="M337" s="23">
        <f t="shared" si="7"/>
        <v>0.0612</v>
      </c>
      <c r="N337" s="22">
        <f t="shared" si="8"/>
        <v>0</v>
      </c>
      <c r="O337" s="23">
        <f t="shared" si="9"/>
        <v>0.124</v>
      </c>
      <c r="P337" s="22">
        <f t="shared" si="10"/>
        <v>0</v>
      </c>
      <c r="Q337" s="20">
        <f>SUMIFS(Entradas!D:D,Entradas!B:B,B337,Entradas!C:C,C337) - SUMIFS(Vendas!E:E,Vendas!C:C,B337,Vendas!D:D,C337)</f>
        <v>0</v>
      </c>
    </row>
    <row r="338">
      <c r="A338" s="19" t="str">
        <f t="shared" si="1"/>
        <v>P338</v>
      </c>
      <c r="D338" s="19"/>
      <c r="E338" s="21"/>
      <c r="F338" s="22"/>
      <c r="G338" s="22"/>
      <c r="H338" s="22" t="str">
        <f t="shared" si="2"/>
        <v/>
      </c>
      <c r="I338" s="22">
        <f t="shared" si="3"/>
        <v>0</v>
      </c>
      <c r="J338" s="23" t="str">
        <f t="shared" si="4"/>
        <v/>
      </c>
      <c r="K338" s="22">
        <f t="shared" si="5"/>
        <v>0</v>
      </c>
      <c r="L338" s="22">
        <f t="shared" si="6"/>
        <v>0</v>
      </c>
      <c r="M338" s="23">
        <f t="shared" si="7"/>
        <v>0.0612</v>
      </c>
      <c r="N338" s="22">
        <f t="shared" si="8"/>
        <v>0</v>
      </c>
      <c r="O338" s="23">
        <f t="shared" si="9"/>
        <v>0.124</v>
      </c>
      <c r="P338" s="22">
        <f t="shared" si="10"/>
        <v>0</v>
      </c>
      <c r="Q338" s="20">
        <f>SUMIFS(Entradas!D:D,Entradas!B:B,B338,Entradas!C:C,C338) - SUMIFS(Vendas!E:E,Vendas!C:C,B338,Vendas!D:D,C338)</f>
        <v>0</v>
      </c>
    </row>
    <row r="339">
      <c r="A339" s="19" t="str">
        <f t="shared" si="1"/>
        <v>P339</v>
      </c>
      <c r="D339" s="19"/>
      <c r="E339" s="21"/>
      <c r="F339" s="22"/>
      <c r="G339" s="22"/>
      <c r="H339" s="22" t="str">
        <f t="shared" si="2"/>
        <v/>
      </c>
      <c r="I339" s="22">
        <f t="shared" si="3"/>
        <v>0</v>
      </c>
      <c r="J339" s="23" t="str">
        <f t="shared" si="4"/>
        <v/>
      </c>
      <c r="K339" s="22">
        <f t="shared" si="5"/>
        <v>0</v>
      </c>
      <c r="L339" s="22">
        <f t="shared" si="6"/>
        <v>0</v>
      </c>
      <c r="M339" s="23">
        <f t="shared" si="7"/>
        <v>0.0612</v>
      </c>
      <c r="N339" s="22">
        <f t="shared" si="8"/>
        <v>0</v>
      </c>
      <c r="O339" s="23">
        <f t="shared" si="9"/>
        <v>0.124</v>
      </c>
      <c r="P339" s="22">
        <f t="shared" si="10"/>
        <v>0</v>
      </c>
      <c r="Q339" s="20">
        <f>SUMIFS(Entradas!D:D,Entradas!B:B,B339,Entradas!C:C,C339) - SUMIFS(Vendas!E:E,Vendas!C:C,B339,Vendas!D:D,C339)</f>
        <v>0</v>
      </c>
    </row>
    <row r="340">
      <c r="A340" s="19" t="str">
        <f t="shared" si="1"/>
        <v>P340</v>
      </c>
      <c r="D340" s="19"/>
      <c r="E340" s="21"/>
      <c r="F340" s="22"/>
      <c r="G340" s="22"/>
      <c r="H340" s="22" t="str">
        <f t="shared" si="2"/>
        <v/>
      </c>
      <c r="I340" s="22">
        <f t="shared" si="3"/>
        <v>0</v>
      </c>
      <c r="J340" s="23" t="str">
        <f t="shared" si="4"/>
        <v/>
      </c>
      <c r="K340" s="22">
        <f t="shared" si="5"/>
        <v>0</v>
      </c>
      <c r="L340" s="22">
        <f t="shared" si="6"/>
        <v>0</v>
      </c>
      <c r="M340" s="23">
        <f t="shared" si="7"/>
        <v>0.0612</v>
      </c>
      <c r="N340" s="22">
        <f t="shared" si="8"/>
        <v>0</v>
      </c>
      <c r="O340" s="23">
        <f t="shared" si="9"/>
        <v>0.124</v>
      </c>
      <c r="P340" s="22">
        <f t="shared" si="10"/>
        <v>0</v>
      </c>
      <c r="Q340" s="20">
        <f>SUMIFS(Entradas!D:D,Entradas!B:B,B340,Entradas!C:C,C340) - SUMIFS(Vendas!E:E,Vendas!C:C,B340,Vendas!D:D,C340)</f>
        <v>0</v>
      </c>
    </row>
    <row r="341">
      <c r="A341" s="19" t="str">
        <f t="shared" si="1"/>
        <v>P341</v>
      </c>
      <c r="D341" s="19"/>
      <c r="E341" s="21"/>
      <c r="F341" s="22"/>
      <c r="G341" s="22"/>
      <c r="H341" s="22" t="str">
        <f t="shared" si="2"/>
        <v/>
      </c>
      <c r="I341" s="22">
        <f t="shared" si="3"/>
        <v>0</v>
      </c>
      <c r="J341" s="23" t="str">
        <f t="shared" si="4"/>
        <v/>
      </c>
      <c r="K341" s="22">
        <f t="shared" si="5"/>
        <v>0</v>
      </c>
      <c r="L341" s="22">
        <f t="shared" si="6"/>
        <v>0</v>
      </c>
      <c r="M341" s="23">
        <f t="shared" si="7"/>
        <v>0.0612</v>
      </c>
      <c r="N341" s="22">
        <f t="shared" si="8"/>
        <v>0</v>
      </c>
      <c r="O341" s="23">
        <f t="shared" si="9"/>
        <v>0.124</v>
      </c>
      <c r="P341" s="22">
        <f t="shared" si="10"/>
        <v>0</v>
      </c>
      <c r="Q341" s="20">
        <f>SUMIFS(Entradas!D:D,Entradas!B:B,B341,Entradas!C:C,C341) - SUMIFS(Vendas!E:E,Vendas!C:C,B341,Vendas!D:D,C341)</f>
        <v>0</v>
      </c>
    </row>
    <row r="342">
      <c r="A342" s="19" t="str">
        <f t="shared" si="1"/>
        <v>P342</v>
      </c>
      <c r="D342" s="19"/>
      <c r="E342" s="21"/>
      <c r="F342" s="22"/>
      <c r="G342" s="22"/>
      <c r="H342" s="22" t="str">
        <f t="shared" si="2"/>
        <v/>
      </c>
      <c r="I342" s="22">
        <f t="shared" si="3"/>
        <v>0</v>
      </c>
      <c r="J342" s="23" t="str">
        <f t="shared" si="4"/>
        <v/>
      </c>
      <c r="K342" s="22">
        <f t="shared" si="5"/>
        <v>0</v>
      </c>
      <c r="L342" s="22">
        <f t="shared" si="6"/>
        <v>0</v>
      </c>
      <c r="M342" s="23">
        <f t="shared" si="7"/>
        <v>0.0612</v>
      </c>
      <c r="N342" s="22">
        <f t="shared" si="8"/>
        <v>0</v>
      </c>
      <c r="O342" s="23">
        <f t="shared" si="9"/>
        <v>0.124</v>
      </c>
      <c r="P342" s="22">
        <f t="shared" si="10"/>
        <v>0</v>
      </c>
      <c r="Q342" s="20">
        <f>SUMIFS(Entradas!D:D,Entradas!B:B,B342,Entradas!C:C,C342) - SUMIFS(Vendas!E:E,Vendas!C:C,B342,Vendas!D:D,C342)</f>
        <v>0</v>
      </c>
    </row>
    <row r="343">
      <c r="A343" s="19" t="str">
        <f t="shared" si="1"/>
        <v>P343</v>
      </c>
      <c r="D343" s="19"/>
      <c r="E343" s="21"/>
      <c r="F343" s="22"/>
      <c r="G343" s="22"/>
      <c r="H343" s="22" t="str">
        <f t="shared" si="2"/>
        <v/>
      </c>
      <c r="I343" s="22">
        <f t="shared" si="3"/>
        <v>0</v>
      </c>
      <c r="J343" s="23" t="str">
        <f t="shared" si="4"/>
        <v/>
      </c>
      <c r="K343" s="22">
        <f t="shared" si="5"/>
        <v>0</v>
      </c>
      <c r="L343" s="22">
        <f t="shared" si="6"/>
        <v>0</v>
      </c>
      <c r="M343" s="23">
        <f t="shared" si="7"/>
        <v>0.0612</v>
      </c>
      <c r="N343" s="22">
        <f t="shared" si="8"/>
        <v>0</v>
      </c>
      <c r="O343" s="23">
        <f t="shared" si="9"/>
        <v>0.124</v>
      </c>
      <c r="P343" s="22">
        <f t="shared" si="10"/>
        <v>0</v>
      </c>
      <c r="Q343" s="20">
        <f>SUMIFS(Entradas!D:D,Entradas!B:B,B343,Entradas!C:C,C343) - SUMIFS(Vendas!E:E,Vendas!C:C,B343,Vendas!D:D,C343)</f>
        <v>0</v>
      </c>
    </row>
    <row r="344">
      <c r="A344" s="19" t="str">
        <f t="shared" si="1"/>
        <v>P344</v>
      </c>
      <c r="D344" s="19"/>
      <c r="E344" s="21"/>
      <c r="F344" s="22"/>
      <c r="G344" s="22"/>
      <c r="H344" s="22" t="str">
        <f t="shared" si="2"/>
        <v/>
      </c>
      <c r="I344" s="22">
        <f t="shared" si="3"/>
        <v>0</v>
      </c>
      <c r="J344" s="23" t="str">
        <f t="shared" si="4"/>
        <v/>
      </c>
      <c r="K344" s="22">
        <f t="shared" si="5"/>
        <v>0</v>
      </c>
      <c r="L344" s="22">
        <f t="shared" si="6"/>
        <v>0</v>
      </c>
      <c r="M344" s="23">
        <f t="shared" si="7"/>
        <v>0.0612</v>
      </c>
      <c r="N344" s="22">
        <f t="shared" si="8"/>
        <v>0</v>
      </c>
      <c r="O344" s="23">
        <f t="shared" si="9"/>
        <v>0.124</v>
      </c>
      <c r="P344" s="22">
        <f t="shared" si="10"/>
        <v>0</v>
      </c>
      <c r="Q344" s="20">
        <f>SUMIFS(Entradas!D:D,Entradas!B:B,B344,Entradas!C:C,C344) - SUMIFS(Vendas!E:E,Vendas!C:C,B344,Vendas!D:D,C344)</f>
        <v>0</v>
      </c>
    </row>
    <row r="345">
      <c r="A345" s="19" t="str">
        <f t="shared" si="1"/>
        <v>P345</v>
      </c>
      <c r="D345" s="19"/>
      <c r="E345" s="21"/>
      <c r="F345" s="22"/>
      <c r="G345" s="22"/>
      <c r="H345" s="22" t="str">
        <f t="shared" si="2"/>
        <v/>
      </c>
      <c r="I345" s="22">
        <f t="shared" si="3"/>
        <v>0</v>
      </c>
      <c r="J345" s="23" t="str">
        <f t="shared" si="4"/>
        <v/>
      </c>
      <c r="K345" s="22">
        <f t="shared" si="5"/>
        <v>0</v>
      </c>
      <c r="L345" s="22">
        <f t="shared" si="6"/>
        <v>0</v>
      </c>
      <c r="M345" s="23">
        <f t="shared" si="7"/>
        <v>0.0612</v>
      </c>
      <c r="N345" s="22">
        <f t="shared" si="8"/>
        <v>0</v>
      </c>
      <c r="O345" s="23">
        <f t="shared" si="9"/>
        <v>0.124</v>
      </c>
      <c r="P345" s="22">
        <f t="shared" si="10"/>
        <v>0</v>
      </c>
      <c r="Q345" s="20">
        <f>SUMIFS(Entradas!D:D,Entradas!B:B,B345,Entradas!C:C,C345) - SUMIFS(Vendas!E:E,Vendas!C:C,B345,Vendas!D:D,C345)</f>
        <v>0</v>
      </c>
    </row>
    <row r="346">
      <c r="A346" s="19" t="str">
        <f t="shared" si="1"/>
        <v>P346</v>
      </c>
      <c r="D346" s="19"/>
      <c r="E346" s="21"/>
      <c r="F346" s="22"/>
      <c r="G346" s="22"/>
      <c r="H346" s="22" t="str">
        <f t="shared" si="2"/>
        <v/>
      </c>
      <c r="I346" s="22">
        <f t="shared" si="3"/>
        <v>0</v>
      </c>
      <c r="J346" s="23" t="str">
        <f t="shared" si="4"/>
        <v/>
      </c>
      <c r="K346" s="22">
        <f t="shared" si="5"/>
        <v>0</v>
      </c>
      <c r="L346" s="22">
        <f t="shared" si="6"/>
        <v>0</v>
      </c>
      <c r="M346" s="23">
        <f t="shared" si="7"/>
        <v>0.0612</v>
      </c>
      <c r="N346" s="22">
        <f t="shared" si="8"/>
        <v>0</v>
      </c>
      <c r="O346" s="23">
        <f t="shared" si="9"/>
        <v>0.124</v>
      </c>
      <c r="P346" s="22">
        <f t="shared" si="10"/>
        <v>0</v>
      </c>
      <c r="Q346" s="20">
        <f>SUMIFS(Entradas!D:D,Entradas!B:B,B346,Entradas!C:C,C346) - SUMIFS(Vendas!E:E,Vendas!C:C,B346,Vendas!D:D,C346)</f>
        <v>0</v>
      </c>
    </row>
    <row r="347">
      <c r="A347" s="19" t="str">
        <f t="shared" si="1"/>
        <v>P347</v>
      </c>
      <c r="D347" s="19"/>
      <c r="E347" s="21"/>
      <c r="F347" s="22"/>
      <c r="G347" s="22"/>
      <c r="H347" s="22" t="str">
        <f t="shared" si="2"/>
        <v/>
      </c>
      <c r="I347" s="22">
        <f t="shared" si="3"/>
        <v>0</v>
      </c>
      <c r="J347" s="23" t="str">
        <f t="shared" si="4"/>
        <v/>
      </c>
      <c r="K347" s="22">
        <f t="shared" si="5"/>
        <v>0</v>
      </c>
      <c r="L347" s="22">
        <f t="shared" si="6"/>
        <v>0</v>
      </c>
      <c r="M347" s="23">
        <f t="shared" si="7"/>
        <v>0.0612</v>
      </c>
      <c r="N347" s="22">
        <f t="shared" si="8"/>
        <v>0</v>
      </c>
      <c r="O347" s="23">
        <f t="shared" si="9"/>
        <v>0.124</v>
      </c>
      <c r="P347" s="22">
        <f t="shared" si="10"/>
        <v>0</v>
      </c>
      <c r="Q347" s="20">
        <f>SUMIFS(Entradas!D:D,Entradas!B:B,B347,Entradas!C:C,C347) - SUMIFS(Vendas!E:E,Vendas!C:C,B347,Vendas!D:D,C347)</f>
        <v>0</v>
      </c>
    </row>
    <row r="348">
      <c r="A348" s="19" t="str">
        <f t="shared" si="1"/>
        <v>P348</v>
      </c>
      <c r="D348" s="19"/>
      <c r="E348" s="21"/>
      <c r="F348" s="22"/>
      <c r="G348" s="22"/>
      <c r="H348" s="22" t="str">
        <f t="shared" si="2"/>
        <v/>
      </c>
      <c r="I348" s="22">
        <f t="shared" si="3"/>
        <v>0</v>
      </c>
      <c r="J348" s="23" t="str">
        <f t="shared" si="4"/>
        <v/>
      </c>
      <c r="K348" s="22">
        <f t="shared" si="5"/>
        <v>0</v>
      </c>
      <c r="L348" s="22">
        <f t="shared" si="6"/>
        <v>0</v>
      </c>
      <c r="M348" s="23">
        <f t="shared" si="7"/>
        <v>0.0612</v>
      </c>
      <c r="N348" s="22">
        <f t="shared" si="8"/>
        <v>0</v>
      </c>
      <c r="O348" s="23">
        <f t="shared" si="9"/>
        <v>0.124</v>
      </c>
      <c r="P348" s="22">
        <f t="shared" si="10"/>
        <v>0</v>
      </c>
      <c r="Q348" s="20">
        <f>SUMIFS(Entradas!D:D,Entradas!B:B,B348,Entradas!C:C,C348) - SUMIFS(Vendas!E:E,Vendas!C:C,B348,Vendas!D:D,C348)</f>
        <v>0</v>
      </c>
    </row>
    <row r="349">
      <c r="A349" s="19" t="str">
        <f t="shared" si="1"/>
        <v>P349</v>
      </c>
      <c r="D349" s="19"/>
      <c r="E349" s="21"/>
      <c r="F349" s="22"/>
      <c r="G349" s="22"/>
      <c r="H349" s="22" t="str">
        <f t="shared" si="2"/>
        <v/>
      </c>
      <c r="I349" s="22">
        <f t="shared" si="3"/>
        <v>0</v>
      </c>
      <c r="J349" s="23" t="str">
        <f t="shared" si="4"/>
        <v/>
      </c>
      <c r="K349" s="22">
        <f t="shared" si="5"/>
        <v>0</v>
      </c>
      <c r="L349" s="22">
        <f t="shared" si="6"/>
        <v>0</v>
      </c>
      <c r="M349" s="23">
        <f t="shared" si="7"/>
        <v>0.0612</v>
      </c>
      <c r="N349" s="22">
        <f t="shared" si="8"/>
        <v>0</v>
      </c>
      <c r="O349" s="23">
        <f t="shared" si="9"/>
        <v>0.124</v>
      </c>
      <c r="P349" s="22">
        <f t="shared" si="10"/>
        <v>0</v>
      </c>
      <c r="Q349" s="20">
        <f>SUMIFS(Entradas!D:D,Entradas!B:B,B349,Entradas!C:C,C349) - SUMIFS(Vendas!E:E,Vendas!C:C,B349,Vendas!D:D,C349)</f>
        <v>0</v>
      </c>
    </row>
    <row r="350">
      <c r="A350" s="19" t="str">
        <f t="shared" si="1"/>
        <v>P350</v>
      </c>
      <c r="D350" s="19"/>
      <c r="E350" s="21"/>
      <c r="F350" s="22"/>
      <c r="G350" s="22"/>
      <c r="H350" s="22" t="str">
        <f t="shared" si="2"/>
        <v/>
      </c>
      <c r="I350" s="22">
        <f t="shared" si="3"/>
        <v>0</v>
      </c>
      <c r="J350" s="23" t="str">
        <f t="shared" si="4"/>
        <v/>
      </c>
      <c r="K350" s="22">
        <f t="shared" si="5"/>
        <v>0</v>
      </c>
      <c r="L350" s="22">
        <f t="shared" si="6"/>
        <v>0</v>
      </c>
      <c r="M350" s="23">
        <f t="shared" si="7"/>
        <v>0.0612</v>
      </c>
      <c r="N350" s="22">
        <f t="shared" si="8"/>
        <v>0</v>
      </c>
      <c r="O350" s="23">
        <f t="shared" si="9"/>
        <v>0.124</v>
      </c>
      <c r="P350" s="22">
        <f t="shared" si="10"/>
        <v>0</v>
      </c>
      <c r="Q350" s="20">
        <f>SUMIFS(Entradas!D:D,Entradas!B:B,B350,Entradas!C:C,C350) - SUMIFS(Vendas!E:E,Vendas!C:C,B350,Vendas!D:D,C350)</f>
        <v>0</v>
      </c>
    </row>
    <row r="351">
      <c r="A351" s="19" t="str">
        <f t="shared" si="1"/>
        <v>P351</v>
      </c>
      <c r="D351" s="19"/>
      <c r="E351" s="21"/>
      <c r="F351" s="22"/>
      <c r="G351" s="22"/>
      <c r="H351" s="22" t="str">
        <f t="shared" si="2"/>
        <v/>
      </c>
      <c r="I351" s="22">
        <f t="shared" si="3"/>
        <v>0</v>
      </c>
      <c r="J351" s="23" t="str">
        <f t="shared" si="4"/>
        <v/>
      </c>
      <c r="K351" s="22">
        <f t="shared" si="5"/>
        <v>0</v>
      </c>
      <c r="L351" s="22">
        <f t="shared" si="6"/>
        <v>0</v>
      </c>
      <c r="M351" s="23">
        <f t="shared" si="7"/>
        <v>0.0612</v>
      </c>
      <c r="N351" s="22">
        <f t="shared" si="8"/>
        <v>0</v>
      </c>
      <c r="O351" s="23">
        <f t="shared" si="9"/>
        <v>0.124</v>
      </c>
      <c r="P351" s="22">
        <f t="shared" si="10"/>
        <v>0</v>
      </c>
      <c r="Q351" s="20">
        <f>SUMIFS(Entradas!D:D,Entradas!B:B,B351,Entradas!C:C,C351) - SUMIFS(Vendas!E:E,Vendas!C:C,B351,Vendas!D:D,C351)</f>
        <v>0</v>
      </c>
    </row>
    <row r="352">
      <c r="A352" s="19" t="str">
        <f t="shared" si="1"/>
        <v>P352</v>
      </c>
      <c r="D352" s="19"/>
      <c r="E352" s="21"/>
      <c r="F352" s="22"/>
      <c r="G352" s="22"/>
      <c r="H352" s="22" t="str">
        <f t="shared" si="2"/>
        <v/>
      </c>
      <c r="I352" s="22">
        <f t="shared" si="3"/>
        <v>0</v>
      </c>
      <c r="J352" s="23" t="str">
        <f t="shared" si="4"/>
        <v/>
      </c>
      <c r="K352" s="22">
        <f t="shared" si="5"/>
        <v>0</v>
      </c>
      <c r="L352" s="22">
        <f t="shared" si="6"/>
        <v>0</v>
      </c>
      <c r="M352" s="23">
        <f t="shared" si="7"/>
        <v>0.0612</v>
      </c>
      <c r="N352" s="22">
        <f t="shared" si="8"/>
        <v>0</v>
      </c>
      <c r="O352" s="23">
        <f t="shared" si="9"/>
        <v>0.124</v>
      </c>
      <c r="P352" s="22">
        <f t="shared" si="10"/>
        <v>0</v>
      </c>
      <c r="Q352" s="20">
        <f>SUMIFS(Entradas!D:D,Entradas!B:B,B352,Entradas!C:C,C352) - SUMIFS(Vendas!E:E,Vendas!C:C,B352,Vendas!D:D,C352)</f>
        <v>0</v>
      </c>
    </row>
    <row r="353">
      <c r="A353" s="19" t="str">
        <f t="shared" si="1"/>
        <v>P353</v>
      </c>
      <c r="D353" s="19"/>
      <c r="E353" s="21"/>
      <c r="F353" s="22"/>
      <c r="G353" s="22"/>
      <c r="H353" s="22" t="str">
        <f t="shared" si="2"/>
        <v/>
      </c>
      <c r="I353" s="22">
        <f t="shared" si="3"/>
        <v>0</v>
      </c>
      <c r="J353" s="23" t="str">
        <f t="shared" si="4"/>
        <v/>
      </c>
      <c r="K353" s="22">
        <f t="shared" si="5"/>
        <v>0</v>
      </c>
      <c r="L353" s="22">
        <f t="shared" si="6"/>
        <v>0</v>
      </c>
      <c r="M353" s="23">
        <f t="shared" si="7"/>
        <v>0.0612</v>
      </c>
      <c r="N353" s="22">
        <f t="shared" si="8"/>
        <v>0</v>
      </c>
      <c r="O353" s="23">
        <f t="shared" si="9"/>
        <v>0.124</v>
      </c>
      <c r="P353" s="22">
        <f t="shared" si="10"/>
        <v>0</v>
      </c>
      <c r="Q353" s="20">
        <f>SUMIFS(Entradas!D:D,Entradas!B:B,B353,Entradas!C:C,C353) - SUMIFS(Vendas!E:E,Vendas!C:C,B353,Vendas!D:D,C353)</f>
        <v>0</v>
      </c>
    </row>
    <row r="354">
      <c r="A354" s="19" t="str">
        <f t="shared" si="1"/>
        <v>P354</v>
      </c>
      <c r="D354" s="19"/>
      <c r="E354" s="21"/>
      <c r="F354" s="22"/>
      <c r="G354" s="22"/>
      <c r="H354" s="22" t="str">
        <f t="shared" si="2"/>
        <v/>
      </c>
      <c r="I354" s="22">
        <f t="shared" si="3"/>
        <v>0</v>
      </c>
      <c r="J354" s="23" t="str">
        <f t="shared" si="4"/>
        <v/>
      </c>
      <c r="K354" s="22">
        <f t="shared" si="5"/>
        <v>0</v>
      </c>
      <c r="L354" s="22">
        <f t="shared" si="6"/>
        <v>0</v>
      </c>
      <c r="M354" s="23">
        <f t="shared" si="7"/>
        <v>0.0612</v>
      </c>
      <c r="N354" s="22">
        <f t="shared" si="8"/>
        <v>0</v>
      </c>
      <c r="O354" s="23">
        <f t="shared" si="9"/>
        <v>0.124</v>
      </c>
      <c r="P354" s="22">
        <f t="shared" si="10"/>
        <v>0</v>
      </c>
      <c r="Q354" s="20">
        <f>SUMIFS(Entradas!D:D,Entradas!B:B,B354,Entradas!C:C,C354) - SUMIFS(Vendas!E:E,Vendas!C:C,B354,Vendas!D:D,C354)</f>
        <v>0</v>
      </c>
    </row>
    <row r="355">
      <c r="A355" s="19" t="str">
        <f t="shared" si="1"/>
        <v>P355</v>
      </c>
      <c r="D355" s="19"/>
      <c r="E355" s="21"/>
      <c r="F355" s="22"/>
      <c r="G355" s="22"/>
      <c r="H355" s="22" t="str">
        <f t="shared" si="2"/>
        <v/>
      </c>
      <c r="I355" s="22">
        <f t="shared" si="3"/>
        <v>0</v>
      </c>
      <c r="J355" s="23" t="str">
        <f t="shared" si="4"/>
        <v/>
      </c>
      <c r="K355" s="22">
        <f t="shared" si="5"/>
        <v>0</v>
      </c>
      <c r="L355" s="22">
        <f t="shared" si="6"/>
        <v>0</v>
      </c>
      <c r="M355" s="23">
        <f t="shared" si="7"/>
        <v>0.0612</v>
      </c>
      <c r="N355" s="22">
        <f t="shared" si="8"/>
        <v>0</v>
      </c>
      <c r="O355" s="23">
        <f t="shared" si="9"/>
        <v>0.124</v>
      </c>
      <c r="P355" s="22">
        <f t="shared" si="10"/>
        <v>0</v>
      </c>
      <c r="Q355" s="20">
        <f>SUMIFS(Entradas!D:D,Entradas!B:B,B355,Entradas!C:C,C355) - SUMIFS(Vendas!E:E,Vendas!C:C,B355,Vendas!D:D,C355)</f>
        <v>0</v>
      </c>
    </row>
    <row r="356">
      <c r="A356" s="19" t="str">
        <f t="shared" si="1"/>
        <v>P356</v>
      </c>
      <c r="D356" s="19"/>
      <c r="E356" s="21"/>
      <c r="F356" s="22"/>
      <c r="G356" s="22"/>
      <c r="H356" s="22" t="str">
        <f t="shared" si="2"/>
        <v/>
      </c>
      <c r="I356" s="22">
        <f t="shared" si="3"/>
        <v>0</v>
      </c>
      <c r="J356" s="23" t="str">
        <f t="shared" si="4"/>
        <v/>
      </c>
      <c r="K356" s="22">
        <f t="shared" si="5"/>
        <v>0</v>
      </c>
      <c r="L356" s="22">
        <f t="shared" si="6"/>
        <v>0</v>
      </c>
      <c r="M356" s="23">
        <f t="shared" si="7"/>
        <v>0.0612</v>
      </c>
      <c r="N356" s="22">
        <f t="shared" si="8"/>
        <v>0</v>
      </c>
      <c r="O356" s="23">
        <f t="shared" si="9"/>
        <v>0.124</v>
      </c>
      <c r="P356" s="22">
        <f t="shared" si="10"/>
        <v>0</v>
      </c>
      <c r="Q356" s="20">
        <f>SUMIFS(Entradas!D:D,Entradas!B:B,B356,Entradas!C:C,C356) - SUMIFS(Vendas!E:E,Vendas!C:C,B356,Vendas!D:D,C356)</f>
        <v>0</v>
      </c>
    </row>
    <row r="357">
      <c r="A357" s="19" t="str">
        <f t="shared" si="1"/>
        <v>P357</v>
      </c>
      <c r="D357" s="19"/>
      <c r="E357" s="21"/>
      <c r="F357" s="22"/>
      <c r="G357" s="22"/>
      <c r="H357" s="22" t="str">
        <f t="shared" si="2"/>
        <v/>
      </c>
      <c r="I357" s="22">
        <f t="shared" si="3"/>
        <v>0</v>
      </c>
      <c r="J357" s="23" t="str">
        <f t="shared" si="4"/>
        <v/>
      </c>
      <c r="K357" s="22">
        <f t="shared" si="5"/>
        <v>0</v>
      </c>
      <c r="L357" s="22">
        <f t="shared" si="6"/>
        <v>0</v>
      </c>
      <c r="M357" s="23">
        <f t="shared" si="7"/>
        <v>0.0612</v>
      </c>
      <c r="N357" s="22">
        <f t="shared" si="8"/>
        <v>0</v>
      </c>
      <c r="O357" s="23">
        <f t="shared" si="9"/>
        <v>0.124</v>
      </c>
      <c r="P357" s="22">
        <f t="shared" si="10"/>
        <v>0</v>
      </c>
      <c r="Q357" s="20">
        <f>SUMIFS(Entradas!D:D,Entradas!B:B,B357,Entradas!C:C,C357) - SUMIFS(Vendas!E:E,Vendas!C:C,B357,Vendas!D:D,C357)</f>
        <v>0</v>
      </c>
    </row>
    <row r="358">
      <c r="A358" s="19" t="str">
        <f t="shared" si="1"/>
        <v>P358</v>
      </c>
      <c r="D358" s="19"/>
      <c r="E358" s="21"/>
      <c r="F358" s="22"/>
      <c r="G358" s="22"/>
      <c r="H358" s="22" t="str">
        <f t="shared" si="2"/>
        <v/>
      </c>
      <c r="I358" s="22">
        <f t="shared" si="3"/>
        <v>0</v>
      </c>
      <c r="J358" s="23" t="str">
        <f t="shared" si="4"/>
        <v/>
      </c>
      <c r="K358" s="22">
        <f t="shared" si="5"/>
        <v>0</v>
      </c>
      <c r="L358" s="22">
        <f t="shared" si="6"/>
        <v>0</v>
      </c>
      <c r="M358" s="23">
        <f t="shared" si="7"/>
        <v>0.0612</v>
      </c>
      <c r="N358" s="22">
        <f t="shared" si="8"/>
        <v>0</v>
      </c>
      <c r="O358" s="23">
        <f t="shared" si="9"/>
        <v>0.124</v>
      </c>
      <c r="P358" s="22">
        <f t="shared" si="10"/>
        <v>0</v>
      </c>
      <c r="Q358" s="20">
        <f>SUMIFS(Entradas!D:D,Entradas!B:B,B358,Entradas!C:C,C358) - SUMIFS(Vendas!E:E,Vendas!C:C,B358,Vendas!D:D,C358)</f>
        <v>0</v>
      </c>
    </row>
    <row r="359">
      <c r="A359" s="19" t="str">
        <f t="shared" si="1"/>
        <v>P359</v>
      </c>
      <c r="D359" s="19"/>
      <c r="E359" s="21"/>
      <c r="F359" s="22"/>
      <c r="G359" s="22"/>
      <c r="H359" s="22" t="str">
        <f t="shared" si="2"/>
        <v/>
      </c>
      <c r="I359" s="22">
        <f t="shared" si="3"/>
        <v>0</v>
      </c>
      <c r="J359" s="23" t="str">
        <f t="shared" si="4"/>
        <v/>
      </c>
      <c r="K359" s="22">
        <f t="shared" si="5"/>
        <v>0</v>
      </c>
      <c r="L359" s="22">
        <f t="shared" si="6"/>
        <v>0</v>
      </c>
      <c r="M359" s="23">
        <f t="shared" si="7"/>
        <v>0.0612</v>
      </c>
      <c r="N359" s="22">
        <f t="shared" si="8"/>
        <v>0</v>
      </c>
      <c r="O359" s="23">
        <f t="shared" si="9"/>
        <v>0.124</v>
      </c>
      <c r="P359" s="22">
        <f t="shared" si="10"/>
        <v>0</v>
      </c>
      <c r="Q359" s="20">
        <f>SUMIFS(Entradas!D:D,Entradas!B:B,B359,Entradas!C:C,C359) - SUMIFS(Vendas!E:E,Vendas!C:C,B359,Vendas!D:D,C359)</f>
        <v>0</v>
      </c>
    </row>
    <row r="360">
      <c r="A360" s="19" t="str">
        <f t="shared" si="1"/>
        <v>P360</v>
      </c>
      <c r="D360" s="19"/>
      <c r="E360" s="21"/>
      <c r="F360" s="22"/>
      <c r="G360" s="22"/>
      <c r="H360" s="22" t="str">
        <f t="shared" si="2"/>
        <v/>
      </c>
      <c r="I360" s="22">
        <f t="shared" si="3"/>
        <v>0</v>
      </c>
      <c r="J360" s="23" t="str">
        <f t="shared" si="4"/>
        <v/>
      </c>
      <c r="K360" s="22">
        <f t="shared" si="5"/>
        <v>0</v>
      </c>
      <c r="L360" s="22">
        <f t="shared" si="6"/>
        <v>0</v>
      </c>
      <c r="M360" s="23">
        <f t="shared" si="7"/>
        <v>0.0612</v>
      </c>
      <c r="N360" s="22">
        <f t="shared" si="8"/>
        <v>0</v>
      </c>
      <c r="O360" s="23">
        <f t="shared" si="9"/>
        <v>0.124</v>
      </c>
      <c r="P360" s="22">
        <f t="shared" si="10"/>
        <v>0</v>
      </c>
      <c r="Q360" s="20">
        <f>SUMIFS(Entradas!D:D,Entradas!B:B,B360,Entradas!C:C,C360) - SUMIFS(Vendas!E:E,Vendas!C:C,B360,Vendas!D:D,C360)</f>
        <v>0</v>
      </c>
    </row>
    <row r="361">
      <c r="A361" s="19" t="str">
        <f t="shared" si="1"/>
        <v>P361</v>
      </c>
      <c r="D361" s="19"/>
      <c r="E361" s="21"/>
      <c r="F361" s="22"/>
      <c r="G361" s="22"/>
      <c r="H361" s="22" t="str">
        <f t="shared" si="2"/>
        <v/>
      </c>
      <c r="I361" s="22">
        <f t="shared" si="3"/>
        <v>0</v>
      </c>
      <c r="J361" s="23" t="str">
        <f t="shared" si="4"/>
        <v/>
      </c>
      <c r="K361" s="22">
        <f t="shared" si="5"/>
        <v>0</v>
      </c>
      <c r="L361" s="22">
        <f t="shared" si="6"/>
        <v>0</v>
      </c>
      <c r="M361" s="23">
        <f t="shared" si="7"/>
        <v>0.0612</v>
      </c>
      <c r="N361" s="22">
        <f t="shared" si="8"/>
        <v>0</v>
      </c>
      <c r="O361" s="23">
        <f t="shared" si="9"/>
        <v>0.124</v>
      </c>
      <c r="P361" s="22">
        <f t="shared" si="10"/>
        <v>0</v>
      </c>
      <c r="Q361" s="20">
        <f>SUMIFS(Entradas!D:D,Entradas!B:B,B361,Entradas!C:C,C361) - SUMIFS(Vendas!E:E,Vendas!C:C,B361,Vendas!D:D,C361)</f>
        <v>0</v>
      </c>
    </row>
    <row r="362">
      <c r="A362" s="19" t="str">
        <f t="shared" si="1"/>
        <v>P362</v>
      </c>
      <c r="D362" s="19"/>
      <c r="E362" s="21"/>
      <c r="F362" s="22"/>
      <c r="G362" s="22"/>
      <c r="H362" s="22" t="str">
        <f t="shared" si="2"/>
        <v/>
      </c>
      <c r="I362" s="22">
        <f t="shared" si="3"/>
        <v>0</v>
      </c>
      <c r="J362" s="23" t="str">
        <f t="shared" si="4"/>
        <v/>
      </c>
      <c r="K362" s="22">
        <f t="shared" si="5"/>
        <v>0</v>
      </c>
      <c r="L362" s="22">
        <f t="shared" si="6"/>
        <v>0</v>
      </c>
      <c r="M362" s="23">
        <f t="shared" si="7"/>
        <v>0.0612</v>
      </c>
      <c r="N362" s="22">
        <f t="shared" si="8"/>
        <v>0</v>
      </c>
      <c r="O362" s="23">
        <f t="shared" si="9"/>
        <v>0.124</v>
      </c>
      <c r="P362" s="22">
        <f t="shared" si="10"/>
        <v>0</v>
      </c>
      <c r="Q362" s="20">
        <f>SUMIFS(Entradas!D:D,Entradas!B:B,B362,Entradas!C:C,C362) - SUMIFS(Vendas!E:E,Vendas!C:C,B362,Vendas!D:D,C362)</f>
        <v>0</v>
      </c>
    </row>
    <row r="363">
      <c r="A363" s="19" t="str">
        <f t="shared" si="1"/>
        <v>P363</v>
      </c>
      <c r="D363" s="19"/>
      <c r="E363" s="21"/>
      <c r="F363" s="22"/>
      <c r="G363" s="22"/>
      <c r="H363" s="22" t="str">
        <f t="shared" si="2"/>
        <v/>
      </c>
      <c r="I363" s="22">
        <f t="shared" si="3"/>
        <v>0</v>
      </c>
      <c r="J363" s="23" t="str">
        <f t="shared" si="4"/>
        <v/>
      </c>
      <c r="K363" s="22">
        <f t="shared" si="5"/>
        <v>0</v>
      </c>
      <c r="L363" s="22">
        <f t="shared" si="6"/>
        <v>0</v>
      </c>
      <c r="M363" s="23">
        <f t="shared" si="7"/>
        <v>0.0612</v>
      </c>
      <c r="N363" s="22">
        <f t="shared" si="8"/>
        <v>0</v>
      </c>
      <c r="O363" s="23">
        <f t="shared" si="9"/>
        <v>0.124</v>
      </c>
      <c r="P363" s="22">
        <f t="shared" si="10"/>
        <v>0</v>
      </c>
      <c r="Q363" s="20">
        <f>SUMIFS(Entradas!D:D,Entradas!B:B,B363,Entradas!C:C,C363) - SUMIFS(Vendas!E:E,Vendas!C:C,B363,Vendas!D:D,C363)</f>
        <v>0</v>
      </c>
    </row>
    <row r="364">
      <c r="A364" s="19" t="str">
        <f t="shared" si="1"/>
        <v>P364</v>
      </c>
      <c r="D364" s="19"/>
      <c r="E364" s="21"/>
      <c r="F364" s="22"/>
      <c r="G364" s="22"/>
      <c r="H364" s="22" t="str">
        <f t="shared" si="2"/>
        <v/>
      </c>
      <c r="I364" s="22">
        <f t="shared" si="3"/>
        <v>0</v>
      </c>
      <c r="J364" s="23" t="str">
        <f t="shared" si="4"/>
        <v/>
      </c>
      <c r="K364" s="22">
        <f t="shared" si="5"/>
        <v>0</v>
      </c>
      <c r="L364" s="22">
        <f t="shared" si="6"/>
        <v>0</v>
      </c>
      <c r="M364" s="23">
        <f t="shared" si="7"/>
        <v>0.0612</v>
      </c>
      <c r="N364" s="22">
        <f t="shared" si="8"/>
        <v>0</v>
      </c>
      <c r="O364" s="23">
        <f t="shared" si="9"/>
        <v>0.124</v>
      </c>
      <c r="P364" s="22">
        <f t="shared" si="10"/>
        <v>0</v>
      </c>
      <c r="Q364" s="20">
        <f>SUMIFS(Entradas!D:D,Entradas!B:B,B364,Entradas!C:C,C364) - SUMIFS(Vendas!E:E,Vendas!C:C,B364,Vendas!D:D,C364)</f>
        <v>0</v>
      </c>
    </row>
    <row r="365">
      <c r="A365" s="19" t="str">
        <f t="shared" si="1"/>
        <v>P365</v>
      </c>
      <c r="D365" s="19"/>
      <c r="E365" s="21"/>
      <c r="F365" s="22"/>
      <c r="G365" s="22"/>
      <c r="H365" s="22" t="str">
        <f t="shared" si="2"/>
        <v/>
      </c>
      <c r="I365" s="22">
        <f t="shared" si="3"/>
        <v>0</v>
      </c>
      <c r="J365" s="23" t="str">
        <f t="shared" si="4"/>
        <v/>
      </c>
      <c r="K365" s="22">
        <f t="shared" si="5"/>
        <v>0</v>
      </c>
      <c r="L365" s="22">
        <f t="shared" si="6"/>
        <v>0</v>
      </c>
      <c r="M365" s="23">
        <f t="shared" si="7"/>
        <v>0.0612</v>
      </c>
      <c r="N365" s="22">
        <f t="shared" si="8"/>
        <v>0</v>
      </c>
      <c r="O365" s="23">
        <f t="shared" si="9"/>
        <v>0.124</v>
      </c>
      <c r="P365" s="22">
        <f t="shared" si="10"/>
        <v>0</v>
      </c>
      <c r="Q365" s="20">
        <f>SUMIFS(Entradas!D:D,Entradas!B:B,B365,Entradas!C:C,C365) - SUMIFS(Vendas!E:E,Vendas!C:C,B365,Vendas!D:D,C365)</f>
        <v>0</v>
      </c>
    </row>
    <row r="366">
      <c r="A366" s="19" t="str">
        <f t="shared" si="1"/>
        <v>P366</v>
      </c>
      <c r="D366" s="19"/>
      <c r="E366" s="21"/>
      <c r="F366" s="22"/>
      <c r="G366" s="22"/>
      <c r="H366" s="22" t="str">
        <f t="shared" si="2"/>
        <v/>
      </c>
      <c r="I366" s="22">
        <f t="shared" si="3"/>
        <v>0</v>
      </c>
      <c r="J366" s="23" t="str">
        <f t="shared" si="4"/>
        <v/>
      </c>
      <c r="K366" s="22">
        <f t="shared" si="5"/>
        <v>0</v>
      </c>
      <c r="L366" s="22">
        <f t="shared" si="6"/>
        <v>0</v>
      </c>
      <c r="M366" s="23">
        <f t="shared" si="7"/>
        <v>0.0612</v>
      </c>
      <c r="N366" s="22">
        <f t="shared" si="8"/>
        <v>0</v>
      </c>
      <c r="O366" s="23">
        <f t="shared" si="9"/>
        <v>0.124</v>
      </c>
      <c r="P366" s="22">
        <f t="shared" si="10"/>
        <v>0</v>
      </c>
      <c r="Q366" s="20">
        <f>SUMIFS(Entradas!D:D,Entradas!B:B,B366,Entradas!C:C,C366) - SUMIFS(Vendas!E:E,Vendas!C:C,B366,Vendas!D:D,C366)</f>
        <v>0</v>
      </c>
    </row>
    <row r="367">
      <c r="A367" s="19" t="str">
        <f t="shared" si="1"/>
        <v>P367</v>
      </c>
      <c r="D367" s="19"/>
      <c r="E367" s="21"/>
      <c r="F367" s="22"/>
      <c r="G367" s="22"/>
      <c r="H367" s="22" t="str">
        <f t="shared" si="2"/>
        <v/>
      </c>
      <c r="I367" s="22">
        <f t="shared" si="3"/>
        <v>0</v>
      </c>
      <c r="J367" s="23" t="str">
        <f t="shared" si="4"/>
        <v/>
      </c>
      <c r="K367" s="22">
        <f t="shared" si="5"/>
        <v>0</v>
      </c>
      <c r="L367" s="22">
        <f t="shared" si="6"/>
        <v>0</v>
      </c>
      <c r="M367" s="23">
        <f t="shared" si="7"/>
        <v>0.0612</v>
      </c>
      <c r="N367" s="22">
        <f t="shared" si="8"/>
        <v>0</v>
      </c>
      <c r="O367" s="23">
        <f t="shared" si="9"/>
        <v>0.124</v>
      </c>
      <c r="P367" s="22">
        <f t="shared" si="10"/>
        <v>0</v>
      </c>
      <c r="Q367" s="20">
        <f>SUMIFS(Entradas!D:D,Entradas!B:B,B367,Entradas!C:C,C367) - SUMIFS(Vendas!E:E,Vendas!C:C,B367,Vendas!D:D,C367)</f>
        <v>0</v>
      </c>
    </row>
    <row r="368">
      <c r="A368" s="19" t="str">
        <f t="shared" si="1"/>
        <v>P368</v>
      </c>
      <c r="D368" s="19"/>
      <c r="E368" s="21"/>
      <c r="F368" s="22"/>
      <c r="G368" s="22"/>
      <c r="H368" s="22" t="str">
        <f t="shared" si="2"/>
        <v/>
      </c>
      <c r="I368" s="22">
        <f t="shared" si="3"/>
        <v>0</v>
      </c>
      <c r="J368" s="23" t="str">
        <f t="shared" si="4"/>
        <v/>
      </c>
      <c r="K368" s="22">
        <f t="shared" si="5"/>
        <v>0</v>
      </c>
      <c r="L368" s="22">
        <f t="shared" si="6"/>
        <v>0</v>
      </c>
      <c r="M368" s="23">
        <f t="shared" si="7"/>
        <v>0.0612</v>
      </c>
      <c r="N368" s="22">
        <f t="shared" si="8"/>
        <v>0</v>
      </c>
      <c r="O368" s="23">
        <f t="shared" si="9"/>
        <v>0.124</v>
      </c>
      <c r="P368" s="22">
        <f t="shared" si="10"/>
        <v>0</v>
      </c>
      <c r="Q368" s="20">
        <f>SUMIFS(Entradas!D:D,Entradas!B:B,B368,Entradas!C:C,C368) - SUMIFS(Vendas!E:E,Vendas!C:C,B368,Vendas!D:D,C368)</f>
        <v>0</v>
      </c>
    </row>
    <row r="369">
      <c r="A369" s="19" t="str">
        <f t="shared" si="1"/>
        <v>P369</v>
      </c>
      <c r="D369" s="19"/>
      <c r="E369" s="21"/>
      <c r="F369" s="22"/>
      <c r="G369" s="22"/>
      <c r="H369" s="22" t="str">
        <f t="shared" si="2"/>
        <v/>
      </c>
      <c r="I369" s="22">
        <f t="shared" si="3"/>
        <v>0</v>
      </c>
      <c r="J369" s="23" t="str">
        <f t="shared" si="4"/>
        <v/>
      </c>
      <c r="K369" s="22">
        <f t="shared" si="5"/>
        <v>0</v>
      </c>
      <c r="L369" s="22">
        <f t="shared" si="6"/>
        <v>0</v>
      </c>
      <c r="M369" s="23">
        <f t="shared" si="7"/>
        <v>0.0612</v>
      </c>
      <c r="N369" s="22">
        <f t="shared" si="8"/>
        <v>0</v>
      </c>
      <c r="O369" s="23">
        <f t="shared" si="9"/>
        <v>0.124</v>
      </c>
      <c r="P369" s="22">
        <f t="shared" si="10"/>
        <v>0</v>
      </c>
      <c r="Q369" s="20">
        <f>SUMIFS(Entradas!D:D,Entradas!B:B,B369,Entradas!C:C,C369) - SUMIFS(Vendas!E:E,Vendas!C:C,B369,Vendas!D:D,C369)</f>
        <v>0</v>
      </c>
    </row>
    <row r="370">
      <c r="A370" s="19" t="str">
        <f t="shared" si="1"/>
        <v>P370</v>
      </c>
      <c r="D370" s="19"/>
      <c r="E370" s="21"/>
      <c r="F370" s="22"/>
      <c r="G370" s="22"/>
      <c r="H370" s="22" t="str">
        <f t="shared" si="2"/>
        <v/>
      </c>
      <c r="I370" s="22">
        <f t="shared" si="3"/>
        <v>0</v>
      </c>
      <c r="J370" s="23" t="str">
        <f t="shared" si="4"/>
        <v/>
      </c>
      <c r="K370" s="22">
        <f t="shared" si="5"/>
        <v>0</v>
      </c>
      <c r="L370" s="22">
        <f t="shared" si="6"/>
        <v>0</v>
      </c>
      <c r="M370" s="23">
        <f t="shared" si="7"/>
        <v>0.0612</v>
      </c>
      <c r="N370" s="22">
        <f t="shared" si="8"/>
        <v>0</v>
      </c>
      <c r="O370" s="23">
        <f t="shared" si="9"/>
        <v>0.124</v>
      </c>
      <c r="P370" s="22">
        <f t="shared" si="10"/>
        <v>0</v>
      </c>
      <c r="Q370" s="20">
        <f>SUMIFS(Entradas!D:D,Entradas!B:B,B370,Entradas!C:C,C370) - SUMIFS(Vendas!E:E,Vendas!C:C,B370,Vendas!D:D,C370)</f>
        <v>0</v>
      </c>
    </row>
    <row r="371">
      <c r="A371" s="19" t="str">
        <f t="shared" si="1"/>
        <v>P371</v>
      </c>
      <c r="D371" s="19"/>
      <c r="E371" s="21"/>
      <c r="F371" s="22"/>
      <c r="G371" s="22"/>
      <c r="H371" s="22" t="str">
        <f t="shared" si="2"/>
        <v/>
      </c>
      <c r="I371" s="22">
        <f t="shared" si="3"/>
        <v>0</v>
      </c>
      <c r="J371" s="23" t="str">
        <f t="shared" si="4"/>
        <v/>
      </c>
      <c r="K371" s="22">
        <f t="shared" si="5"/>
        <v>0</v>
      </c>
      <c r="L371" s="22">
        <f t="shared" si="6"/>
        <v>0</v>
      </c>
      <c r="M371" s="23">
        <f t="shared" si="7"/>
        <v>0.0612</v>
      </c>
      <c r="N371" s="22">
        <f t="shared" si="8"/>
        <v>0</v>
      </c>
      <c r="O371" s="23">
        <f t="shared" si="9"/>
        <v>0.124</v>
      </c>
      <c r="P371" s="22">
        <f t="shared" si="10"/>
        <v>0</v>
      </c>
      <c r="Q371" s="20">
        <f>SUMIFS(Entradas!D:D,Entradas!B:B,B371,Entradas!C:C,C371) - SUMIFS(Vendas!E:E,Vendas!C:C,B371,Vendas!D:D,C371)</f>
        <v>0</v>
      </c>
    </row>
    <row r="372">
      <c r="A372" s="19" t="str">
        <f t="shared" si="1"/>
        <v>P372</v>
      </c>
      <c r="D372" s="19"/>
      <c r="E372" s="21"/>
      <c r="F372" s="22"/>
      <c r="G372" s="22"/>
      <c r="H372" s="22" t="str">
        <f t="shared" si="2"/>
        <v/>
      </c>
      <c r="I372" s="22">
        <f t="shared" si="3"/>
        <v>0</v>
      </c>
      <c r="J372" s="23" t="str">
        <f t="shared" si="4"/>
        <v/>
      </c>
      <c r="K372" s="22">
        <f t="shared" si="5"/>
        <v>0</v>
      </c>
      <c r="L372" s="22">
        <f t="shared" si="6"/>
        <v>0</v>
      </c>
      <c r="M372" s="23">
        <f t="shared" si="7"/>
        <v>0.0612</v>
      </c>
      <c r="N372" s="22">
        <f t="shared" si="8"/>
        <v>0</v>
      </c>
      <c r="O372" s="23">
        <f t="shared" si="9"/>
        <v>0.124</v>
      </c>
      <c r="P372" s="22">
        <f t="shared" si="10"/>
        <v>0</v>
      </c>
      <c r="Q372" s="20">
        <f>SUMIFS(Entradas!D:D,Entradas!B:B,B372,Entradas!C:C,C372) - SUMIFS(Vendas!E:E,Vendas!C:C,B372,Vendas!D:D,C372)</f>
        <v>0</v>
      </c>
    </row>
    <row r="373">
      <c r="A373" s="19" t="str">
        <f t="shared" si="1"/>
        <v>P373</v>
      </c>
      <c r="D373" s="19"/>
      <c r="E373" s="21"/>
      <c r="F373" s="22"/>
      <c r="G373" s="22"/>
      <c r="H373" s="22" t="str">
        <f t="shared" si="2"/>
        <v/>
      </c>
      <c r="I373" s="22">
        <f t="shared" si="3"/>
        <v>0</v>
      </c>
      <c r="J373" s="23" t="str">
        <f t="shared" si="4"/>
        <v/>
      </c>
      <c r="K373" s="22">
        <f t="shared" si="5"/>
        <v>0</v>
      </c>
      <c r="L373" s="22">
        <f t="shared" si="6"/>
        <v>0</v>
      </c>
      <c r="M373" s="23">
        <f t="shared" si="7"/>
        <v>0.0612</v>
      </c>
      <c r="N373" s="22">
        <f t="shared" si="8"/>
        <v>0</v>
      </c>
      <c r="O373" s="23">
        <f t="shared" si="9"/>
        <v>0.124</v>
      </c>
      <c r="P373" s="22">
        <f t="shared" si="10"/>
        <v>0</v>
      </c>
      <c r="Q373" s="20">
        <f>SUMIFS(Entradas!D:D,Entradas!B:B,B373,Entradas!C:C,C373) - SUMIFS(Vendas!E:E,Vendas!C:C,B373,Vendas!D:D,C373)</f>
        <v>0</v>
      </c>
    </row>
    <row r="374">
      <c r="A374" s="19" t="str">
        <f t="shared" si="1"/>
        <v>P374</v>
      </c>
      <c r="D374" s="19"/>
      <c r="E374" s="21"/>
      <c r="F374" s="22"/>
      <c r="G374" s="22"/>
      <c r="H374" s="22" t="str">
        <f t="shared" si="2"/>
        <v/>
      </c>
      <c r="I374" s="22">
        <f t="shared" si="3"/>
        <v>0</v>
      </c>
      <c r="J374" s="23" t="str">
        <f t="shared" si="4"/>
        <v/>
      </c>
      <c r="K374" s="22">
        <f t="shared" si="5"/>
        <v>0</v>
      </c>
      <c r="L374" s="22">
        <f t="shared" si="6"/>
        <v>0</v>
      </c>
      <c r="M374" s="23">
        <f t="shared" si="7"/>
        <v>0.0612</v>
      </c>
      <c r="N374" s="22">
        <f t="shared" si="8"/>
        <v>0</v>
      </c>
      <c r="O374" s="23">
        <f t="shared" si="9"/>
        <v>0.124</v>
      </c>
      <c r="P374" s="22">
        <f t="shared" si="10"/>
        <v>0</v>
      </c>
      <c r="Q374" s="20">
        <f>SUMIFS(Entradas!D:D,Entradas!B:B,B374,Entradas!C:C,C374) - SUMIFS(Vendas!E:E,Vendas!C:C,B374,Vendas!D:D,C374)</f>
        <v>0</v>
      </c>
    </row>
    <row r="375">
      <c r="A375" s="19" t="str">
        <f t="shared" si="1"/>
        <v>P375</v>
      </c>
      <c r="D375" s="19"/>
      <c r="E375" s="21"/>
      <c r="F375" s="22"/>
      <c r="G375" s="22"/>
      <c r="H375" s="22" t="str">
        <f t="shared" si="2"/>
        <v/>
      </c>
      <c r="I375" s="22">
        <f t="shared" si="3"/>
        <v>0</v>
      </c>
      <c r="J375" s="23" t="str">
        <f t="shared" si="4"/>
        <v/>
      </c>
      <c r="K375" s="22">
        <f t="shared" si="5"/>
        <v>0</v>
      </c>
      <c r="L375" s="22">
        <f t="shared" si="6"/>
        <v>0</v>
      </c>
      <c r="M375" s="23">
        <f t="shared" si="7"/>
        <v>0.0612</v>
      </c>
      <c r="N375" s="22">
        <f t="shared" si="8"/>
        <v>0</v>
      </c>
      <c r="O375" s="23">
        <f t="shared" si="9"/>
        <v>0.124</v>
      </c>
      <c r="P375" s="22">
        <f t="shared" si="10"/>
        <v>0</v>
      </c>
      <c r="Q375" s="20">
        <f>SUMIFS(Entradas!D:D,Entradas!B:B,B375,Entradas!C:C,C375) - SUMIFS(Vendas!E:E,Vendas!C:C,B375,Vendas!D:D,C375)</f>
        <v>0</v>
      </c>
    </row>
    <row r="376">
      <c r="A376" s="19" t="str">
        <f t="shared" si="1"/>
        <v>P376</v>
      </c>
      <c r="D376" s="19"/>
      <c r="E376" s="21"/>
      <c r="F376" s="22"/>
      <c r="G376" s="22"/>
      <c r="H376" s="22" t="str">
        <f t="shared" si="2"/>
        <v/>
      </c>
      <c r="I376" s="22">
        <f t="shared" si="3"/>
        <v>0</v>
      </c>
      <c r="J376" s="23" t="str">
        <f t="shared" si="4"/>
        <v/>
      </c>
      <c r="K376" s="22">
        <f t="shared" si="5"/>
        <v>0</v>
      </c>
      <c r="L376" s="22">
        <f t="shared" si="6"/>
        <v>0</v>
      </c>
      <c r="M376" s="23">
        <f t="shared" si="7"/>
        <v>0.0612</v>
      </c>
      <c r="N376" s="22">
        <f t="shared" si="8"/>
        <v>0</v>
      </c>
      <c r="O376" s="23">
        <f t="shared" si="9"/>
        <v>0.124</v>
      </c>
      <c r="P376" s="22">
        <f t="shared" si="10"/>
        <v>0</v>
      </c>
      <c r="Q376" s="20">
        <f>SUMIFS(Entradas!D:D,Entradas!B:B,B376,Entradas!C:C,C376) - SUMIFS(Vendas!E:E,Vendas!C:C,B376,Vendas!D:D,C376)</f>
        <v>0</v>
      </c>
    </row>
    <row r="377">
      <c r="A377" s="19" t="str">
        <f t="shared" si="1"/>
        <v>P377</v>
      </c>
      <c r="D377" s="19"/>
      <c r="E377" s="21"/>
      <c r="F377" s="22"/>
      <c r="G377" s="22"/>
      <c r="H377" s="22" t="str">
        <f t="shared" si="2"/>
        <v/>
      </c>
      <c r="I377" s="22">
        <f t="shared" si="3"/>
        <v>0</v>
      </c>
      <c r="J377" s="23" t="str">
        <f t="shared" si="4"/>
        <v/>
      </c>
      <c r="K377" s="22">
        <f t="shared" si="5"/>
        <v>0</v>
      </c>
      <c r="L377" s="22">
        <f t="shared" si="6"/>
        <v>0</v>
      </c>
      <c r="M377" s="23">
        <f t="shared" si="7"/>
        <v>0.0612</v>
      </c>
      <c r="N377" s="22">
        <f t="shared" si="8"/>
        <v>0</v>
      </c>
      <c r="O377" s="23">
        <f t="shared" si="9"/>
        <v>0.124</v>
      </c>
      <c r="P377" s="22">
        <f t="shared" si="10"/>
        <v>0</v>
      </c>
      <c r="Q377" s="20">
        <f>SUMIFS(Entradas!D:D,Entradas!B:B,B377,Entradas!C:C,C377) - SUMIFS(Vendas!E:E,Vendas!C:C,B377,Vendas!D:D,C377)</f>
        <v>0</v>
      </c>
    </row>
    <row r="378">
      <c r="A378" s="19" t="str">
        <f t="shared" si="1"/>
        <v>P378</v>
      </c>
      <c r="D378" s="19"/>
      <c r="E378" s="21"/>
      <c r="F378" s="22"/>
      <c r="G378" s="22"/>
      <c r="H378" s="22" t="str">
        <f t="shared" si="2"/>
        <v/>
      </c>
      <c r="I378" s="22">
        <f t="shared" si="3"/>
        <v>0</v>
      </c>
      <c r="J378" s="23" t="str">
        <f t="shared" si="4"/>
        <v/>
      </c>
      <c r="K378" s="22">
        <f t="shared" si="5"/>
        <v>0</v>
      </c>
      <c r="L378" s="22">
        <f t="shared" si="6"/>
        <v>0</v>
      </c>
      <c r="M378" s="23">
        <f t="shared" si="7"/>
        <v>0.0612</v>
      </c>
      <c r="N378" s="22">
        <f t="shared" si="8"/>
        <v>0</v>
      </c>
      <c r="O378" s="23">
        <f t="shared" si="9"/>
        <v>0.124</v>
      </c>
      <c r="P378" s="22">
        <f t="shared" si="10"/>
        <v>0</v>
      </c>
      <c r="Q378" s="20">
        <f>SUMIFS(Entradas!D:D,Entradas!B:B,B378,Entradas!C:C,C378) - SUMIFS(Vendas!E:E,Vendas!C:C,B378,Vendas!D:D,C378)</f>
        <v>0</v>
      </c>
    </row>
    <row r="379">
      <c r="A379" s="19" t="str">
        <f t="shared" si="1"/>
        <v>P379</v>
      </c>
      <c r="D379" s="19"/>
      <c r="E379" s="21"/>
      <c r="F379" s="22"/>
      <c r="G379" s="22"/>
      <c r="H379" s="22" t="str">
        <f t="shared" si="2"/>
        <v/>
      </c>
      <c r="I379" s="22">
        <f t="shared" si="3"/>
        <v>0</v>
      </c>
      <c r="J379" s="23" t="str">
        <f t="shared" si="4"/>
        <v/>
      </c>
      <c r="K379" s="22">
        <f t="shared" si="5"/>
        <v>0</v>
      </c>
      <c r="L379" s="22">
        <f t="shared" si="6"/>
        <v>0</v>
      </c>
      <c r="M379" s="23">
        <f t="shared" si="7"/>
        <v>0.0612</v>
      </c>
      <c r="N379" s="22">
        <f t="shared" si="8"/>
        <v>0</v>
      </c>
      <c r="O379" s="23">
        <f t="shared" si="9"/>
        <v>0.124</v>
      </c>
      <c r="P379" s="22">
        <f t="shared" si="10"/>
        <v>0</v>
      </c>
      <c r="Q379" s="20">
        <f>SUMIFS(Entradas!D:D,Entradas!B:B,B379,Entradas!C:C,C379) - SUMIFS(Vendas!E:E,Vendas!C:C,B379,Vendas!D:D,C379)</f>
        <v>0</v>
      </c>
    </row>
    <row r="380">
      <c r="A380" s="19" t="str">
        <f t="shared" si="1"/>
        <v>P380</v>
      </c>
      <c r="D380" s="19"/>
      <c r="E380" s="21"/>
      <c r="F380" s="22"/>
      <c r="G380" s="22"/>
      <c r="H380" s="22" t="str">
        <f t="shared" si="2"/>
        <v/>
      </c>
      <c r="I380" s="22">
        <f t="shared" si="3"/>
        <v>0</v>
      </c>
      <c r="J380" s="23" t="str">
        <f t="shared" si="4"/>
        <v/>
      </c>
      <c r="K380" s="22">
        <f t="shared" si="5"/>
        <v>0</v>
      </c>
      <c r="L380" s="22">
        <f t="shared" si="6"/>
        <v>0</v>
      </c>
      <c r="M380" s="23">
        <f t="shared" si="7"/>
        <v>0.0612</v>
      </c>
      <c r="N380" s="22">
        <f t="shared" si="8"/>
        <v>0</v>
      </c>
      <c r="O380" s="23">
        <f t="shared" si="9"/>
        <v>0.124</v>
      </c>
      <c r="P380" s="22">
        <f t="shared" si="10"/>
        <v>0</v>
      </c>
      <c r="Q380" s="20">
        <f>SUMIFS(Entradas!D:D,Entradas!B:B,B380,Entradas!C:C,C380) - SUMIFS(Vendas!E:E,Vendas!C:C,B380,Vendas!D:D,C380)</f>
        <v>0</v>
      </c>
    </row>
    <row r="381">
      <c r="A381" s="19" t="str">
        <f t="shared" si="1"/>
        <v>P381</v>
      </c>
      <c r="D381" s="19"/>
      <c r="E381" s="21"/>
      <c r="F381" s="22"/>
      <c r="G381" s="22"/>
      <c r="H381" s="22" t="str">
        <f t="shared" si="2"/>
        <v/>
      </c>
      <c r="I381" s="22">
        <f t="shared" si="3"/>
        <v>0</v>
      </c>
      <c r="J381" s="23" t="str">
        <f t="shared" si="4"/>
        <v/>
      </c>
      <c r="K381" s="22">
        <f t="shared" si="5"/>
        <v>0</v>
      </c>
      <c r="L381" s="22">
        <f t="shared" si="6"/>
        <v>0</v>
      </c>
      <c r="M381" s="23">
        <f t="shared" si="7"/>
        <v>0.0612</v>
      </c>
      <c r="N381" s="22">
        <f t="shared" si="8"/>
        <v>0</v>
      </c>
      <c r="O381" s="23">
        <f t="shared" si="9"/>
        <v>0.124</v>
      </c>
      <c r="P381" s="22">
        <f t="shared" si="10"/>
        <v>0</v>
      </c>
      <c r="Q381" s="20">
        <f>SUMIFS(Entradas!D:D,Entradas!B:B,B381,Entradas!C:C,C381) - SUMIFS(Vendas!E:E,Vendas!C:C,B381,Vendas!D:D,C381)</f>
        <v>0</v>
      </c>
    </row>
    <row r="382">
      <c r="A382" s="19" t="str">
        <f t="shared" si="1"/>
        <v>P382</v>
      </c>
      <c r="D382" s="19"/>
      <c r="E382" s="21"/>
      <c r="F382" s="22"/>
      <c r="G382" s="22"/>
      <c r="H382" s="22" t="str">
        <f t="shared" si="2"/>
        <v/>
      </c>
      <c r="I382" s="22">
        <f t="shared" si="3"/>
        <v>0</v>
      </c>
      <c r="J382" s="23" t="str">
        <f t="shared" si="4"/>
        <v/>
      </c>
      <c r="K382" s="22">
        <f t="shared" si="5"/>
        <v>0</v>
      </c>
      <c r="L382" s="22">
        <f t="shared" si="6"/>
        <v>0</v>
      </c>
      <c r="M382" s="23">
        <f t="shared" si="7"/>
        <v>0.0612</v>
      </c>
      <c r="N382" s="22">
        <f t="shared" si="8"/>
        <v>0</v>
      </c>
      <c r="O382" s="23">
        <f t="shared" si="9"/>
        <v>0.124</v>
      </c>
      <c r="P382" s="22">
        <f t="shared" si="10"/>
        <v>0</v>
      </c>
      <c r="Q382" s="20">
        <f>SUMIFS(Entradas!D:D,Entradas!B:B,B382,Entradas!C:C,C382) - SUMIFS(Vendas!E:E,Vendas!C:C,B382,Vendas!D:D,C382)</f>
        <v>0</v>
      </c>
    </row>
    <row r="383">
      <c r="A383" s="19" t="str">
        <f t="shared" si="1"/>
        <v>P383</v>
      </c>
      <c r="D383" s="19"/>
      <c r="E383" s="21"/>
      <c r="F383" s="22"/>
      <c r="G383" s="22"/>
      <c r="H383" s="22" t="str">
        <f t="shared" si="2"/>
        <v/>
      </c>
      <c r="I383" s="22">
        <f t="shared" si="3"/>
        <v>0</v>
      </c>
      <c r="J383" s="23" t="str">
        <f t="shared" si="4"/>
        <v/>
      </c>
      <c r="K383" s="22">
        <f t="shared" si="5"/>
        <v>0</v>
      </c>
      <c r="L383" s="22">
        <f t="shared" si="6"/>
        <v>0</v>
      </c>
      <c r="M383" s="23">
        <f t="shared" si="7"/>
        <v>0.0612</v>
      </c>
      <c r="N383" s="22">
        <f t="shared" si="8"/>
        <v>0</v>
      </c>
      <c r="O383" s="23">
        <f t="shared" si="9"/>
        <v>0.124</v>
      </c>
      <c r="P383" s="22">
        <f t="shared" si="10"/>
        <v>0</v>
      </c>
      <c r="Q383" s="20">
        <f>SUMIFS(Entradas!D:D,Entradas!B:B,B383,Entradas!C:C,C383) - SUMIFS(Vendas!E:E,Vendas!C:C,B383,Vendas!D:D,C383)</f>
        <v>0</v>
      </c>
    </row>
    <row r="384">
      <c r="A384" s="19" t="str">
        <f t="shared" si="1"/>
        <v>P384</v>
      </c>
      <c r="D384" s="19"/>
      <c r="E384" s="21"/>
      <c r="F384" s="22"/>
      <c r="G384" s="22"/>
      <c r="H384" s="22" t="str">
        <f t="shared" si="2"/>
        <v/>
      </c>
      <c r="I384" s="22">
        <f t="shared" si="3"/>
        <v>0</v>
      </c>
      <c r="J384" s="23" t="str">
        <f t="shared" si="4"/>
        <v/>
      </c>
      <c r="K384" s="22">
        <f t="shared" si="5"/>
        <v>0</v>
      </c>
      <c r="L384" s="22">
        <f t="shared" si="6"/>
        <v>0</v>
      </c>
      <c r="M384" s="23">
        <f t="shared" si="7"/>
        <v>0.0612</v>
      </c>
      <c r="N384" s="22">
        <f t="shared" si="8"/>
        <v>0</v>
      </c>
      <c r="O384" s="23">
        <f t="shared" si="9"/>
        <v>0.124</v>
      </c>
      <c r="P384" s="22">
        <f t="shared" si="10"/>
        <v>0</v>
      </c>
      <c r="Q384" s="20">
        <f>SUMIFS(Entradas!D:D,Entradas!B:B,B384,Entradas!C:C,C384) - SUMIFS(Vendas!E:E,Vendas!C:C,B384,Vendas!D:D,C384)</f>
        <v>0</v>
      </c>
    </row>
    <row r="385">
      <c r="A385" s="19" t="str">
        <f t="shared" si="1"/>
        <v>P385</v>
      </c>
      <c r="D385" s="19"/>
      <c r="E385" s="21"/>
      <c r="F385" s="22"/>
      <c r="G385" s="22"/>
      <c r="H385" s="22" t="str">
        <f t="shared" si="2"/>
        <v/>
      </c>
      <c r="I385" s="22">
        <f t="shared" si="3"/>
        <v>0</v>
      </c>
      <c r="J385" s="23" t="str">
        <f t="shared" si="4"/>
        <v/>
      </c>
      <c r="K385" s="22">
        <f t="shared" si="5"/>
        <v>0</v>
      </c>
      <c r="L385" s="22">
        <f t="shared" si="6"/>
        <v>0</v>
      </c>
      <c r="M385" s="23">
        <f t="shared" si="7"/>
        <v>0.0612</v>
      </c>
      <c r="N385" s="22">
        <f t="shared" si="8"/>
        <v>0</v>
      </c>
      <c r="O385" s="23">
        <f t="shared" si="9"/>
        <v>0.124</v>
      </c>
      <c r="P385" s="22">
        <f t="shared" si="10"/>
        <v>0</v>
      </c>
      <c r="Q385" s="20">
        <f>SUMIFS(Entradas!D:D,Entradas!B:B,B385,Entradas!C:C,C385) - SUMIFS(Vendas!E:E,Vendas!C:C,B385,Vendas!D:D,C385)</f>
        <v>0</v>
      </c>
    </row>
    <row r="386">
      <c r="A386" s="19" t="str">
        <f t="shared" si="1"/>
        <v>P386</v>
      </c>
      <c r="D386" s="19"/>
      <c r="E386" s="21"/>
      <c r="F386" s="22"/>
      <c r="G386" s="22"/>
      <c r="H386" s="22" t="str">
        <f t="shared" si="2"/>
        <v/>
      </c>
      <c r="I386" s="22">
        <f t="shared" si="3"/>
        <v>0</v>
      </c>
      <c r="J386" s="23" t="str">
        <f t="shared" si="4"/>
        <v/>
      </c>
      <c r="K386" s="22">
        <f t="shared" si="5"/>
        <v>0</v>
      </c>
      <c r="L386" s="22">
        <f t="shared" si="6"/>
        <v>0</v>
      </c>
      <c r="M386" s="23">
        <f t="shared" si="7"/>
        <v>0.0612</v>
      </c>
      <c r="N386" s="22">
        <f t="shared" si="8"/>
        <v>0</v>
      </c>
      <c r="O386" s="23">
        <f t="shared" si="9"/>
        <v>0.124</v>
      </c>
      <c r="P386" s="22">
        <f t="shared" si="10"/>
        <v>0</v>
      </c>
      <c r="Q386" s="20">
        <f>SUMIFS(Entradas!D:D,Entradas!B:B,B386,Entradas!C:C,C386) - SUMIFS(Vendas!E:E,Vendas!C:C,B386,Vendas!D:D,C386)</f>
        <v>0</v>
      </c>
    </row>
    <row r="387">
      <c r="A387" s="19" t="str">
        <f t="shared" si="1"/>
        <v>P387</v>
      </c>
      <c r="D387" s="19"/>
      <c r="E387" s="21"/>
      <c r="F387" s="22"/>
      <c r="G387" s="22"/>
      <c r="H387" s="22" t="str">
        <f t="shared" si="2"/>
        <v/>
      </c>
      <c r="I387" s="22">
        <f t="shared" si="3"/>
        <v>0</v>
      </c>
      <c r="J387" s="23" t="str">
        <f t="shared" si="4"/>
        <v/>
      </c>
      <c r="K387" s="22">
        <f t="shared" si="5"/>
        <v>0</v>
      </c>
      <c r="L387" s="22">
        <f t="shared" si="6"/>
        <v>0</v>
      </c>
      <c r="M387" s="23">
        <f t="shared" si="7"/>
        <v>0.0612</v>
      </c>
      <c r="N387" s="22">
        <f t="shared" si="8"/>
        <v>0</v>
      </c>
      <c r="O387" s="23">
        <f t="shared" si="9"/>
        <v>0.124</v>
      </c>
      <c r="P387" s="22">
        <f t="shared" si="10"/>
        <v>0</v>
      </c>
      <c r="Q387" s="20">
        <f>SUMIFS(Entradas!D:D,Entradas!B:B,B387,Entradas!C:C,C387) - SUMIFS(Vendas!E:E,Vendas!C:C,B387,Vendas!D:D,C387)</f>
        <v>0</v>
      </c>
    </row>
    <row r="388">
      <c r="A388" s="19" t="str">
        <f t="shared" si="1"/>
        <v>P388</v>
      </c>
      <c r="D388" s="19"/>
      <c r="E388" s="21"/>
      <c r="F388" s="22"/>
      <c r="G388" s="22"/>
      <c r="H388" s="22" t="str">
        <f t="shared" si="2"/>
        <v/>
      </c>
      <c r="I388" s="22">
        <f t="shared" si="3"/>
        <v>0</v>
      </c>
      <c r="J388" s="23" t="str">
        <f t="shared" si="4"/>
        <v/>
      </c>
      <c r="K388" s="22">
        <f t="shared" si="5"/>
        <v>0</v>
      </c>
      <c r="L388" s="22">
        <f t="shared" si="6"/>
        <v>0</v>
      </c>
      <c r="M388" s="23">
        <f t="shared" si="7"/>
        <v>0.0612</v>
      </c>
      <c r="N388" s="22">
        <f t="shared" si="8"/>
        <v>0</v>
      </c>
      <c r="O388" s="23">
        <f t="shared" si="9"/>
        <v>0.124</v>
      </c>
      <c r="P388" s="22">
        <f t="shared" si="10"/>
        <v>0</v>
      </c>
      <c r="Q388" s="20">
        <f>SUMIFS(Entradas!D:D,Entradas!B:B,B388,Entradas!C:C,C388) - SUMIFS(Vendas!E:E,Vendas!C:C,B388,Vendas!D:D,C388)</f>
        <v>0</v>
      </c>
    </row>
    <row r="389">
      <c r="A389" s="19" t="str">
        <f t="shared" si="1"/>
        <v>P389</v>
      </c>
      <c r="D389" s="19"/>
      <c r="E389" s="21"/>
      <c r="F389" s="22"/>
      <c r="G389" s="22"/>
      <c r="H389" s="22" t="str">
        <f t="shared" si="2"/>
        <v/>
      </c>
      <c r="I389" s="22">
        <f t="shared" si="3"/>
        <v>0</v>
      </c>
      <c r="J389" s="23" t="str">
        <f t="shared" si="4"/>
        <v/>
      </c>
      <c r="K389" s="22">
        <f t="shared" si="5"/>
        <v>0</v>
      </c>
      <c r="L389" s="22">
        <f t="shared" si="6"/>
        <v>0</v>
      </c>
      <c r="M389" s="23">
        <f t="shared" si="7"/>
        <v>0.0612</v>
      </c>
      <c r="N389" s="22">
        <f t="shared" si="8"/>
        <v>0</v>
      </c>
      <c r="O389" s="23">
        <f t="shared" si="9"/>
        <v>0.124</v>
      </c>
      <c r="P389" s="22">
        <f t="shared" si="10"/>
        <v>0</v>
      </c>
      <c r="Q389" s="20">
        <f>SUMIFS(Entradas!D:D,Entradas!B:B,B389,Entradas!C:C,C389) - SUMIFS(Vendas!E:E,Vendas!C:C,B389,Vendas!D:D,C389)</f>
        <v>0</v>
      </c>
    </row>
    <row r="390">
      <c r="A390" s="19" t="str">
        <f t="shared" si="1"/>
        <v>P390</v>
      </c>
      <c r="D390" s="19"/>
      <c r="E390" s="21"/>
      <c r="F390" s="22"/>
      <c r="G390" s="22"/>
      <c r="H390" s="22" t="str">
        <f t="shared" si="2"/>
        <v/>
      </c>
      <c r="I390" s="22">
        <f t="shared" si="3"/>
        <v>0</v>
      </c>
      <c r="J390" s="23" t="str">
        <f t="shared" si="4"/>
        <v/>
      </c>
      <c r="K390" s="22">
        <f t="shared" si="5"/>
        <v>0</v>
      </c>
      <c r="L390" s="22">
        <f t="shared" si="6"/>
        <v>0</v>
      </c>
      <c r="M390" s="23">
        <f t="shared" si="7"/>
        <v>0.0612</v>
      </c>
      <c r="N390" s="22">
        <f t="shared" si="8"/>
        <v>0</v>
      </c>
      <c r="O390" s="23">
        <f t="shared" si="9"/>
        <v>0.124</v>
      </c>
      <c r="P390" s="22">
        <f t="shared" si="10"/>
        <v>0</v>
      </c>
      <c r="Q390" s="20">
        <f>SUMIFS(Entradas!D:D,Entradas!B:B,B390,Entradas!C:C,C390) - SUMIFS(Vendas!E:E,Vendas!C:C,B390,Vendas!D:D,C390)</f>
        <v>0</v>
      </c>
    </row>
    <row r="391">
      <c r="A391" s="19" t="str">
        <f t="shared" si="1"/>
        <v>P391</v>
      </c>
      <c r="D391" s="19"/>
      <c r="E391" s="21"/>
      <c r="F391" s="22"/>
      <c r="G391" s="22"/>
      <c r="H391" s="22" t="str">
        <f t="shared" si="2"/>
        <v/>
      </c>
      <c r="I391" s="22">
        <f t="shared" si="3"/>
        <v>0</v>
      </c>
      <c r="J391" s="23" t="str">
        <f t="shared" si="4"/>
        <v/>
      </c>
      <c r="K391" s="22">
        <f t="shared" si="5"/>
        <v>0</v>
      </c>
      <c r="L391" s="22">
        <f t="shared" si="6"/>
        <v>0</v>
      </c>
      <c r="M391" s="23">
        <f t="shared" si="7"/>
        <v>0.0612</v>
      </c>
      <c r="N391" s="22">
        <f t="shared" si="8"/>
        <v>0</v>
      </c>
      <c r="O391" s="23">
        <f t="shared" si="9"/>
        <v>0.124</v>
      </c>
      <c r="P391" s="22">
        <f t="shared" si="10"/>
        <v>0</v>
      </c>
      <c r="Q391" s="20">
        <f>SUMIFS(Entradas!D:D,Entradas!B:B,B391,Entradas!C:C,C391) - SUMIFS(Vendas!E:E,Vendas!C:C,B391,Vendas!D:D,C391)</f>
        <v>0</v>
      </c>
    </row>
    <row r="392">
      <c r="A392" s="19" t="str">
        <f t="shared" si="1"/>
        <v>P392</v>
      </c>
      <c r="D392" s="19"/>
      <c r="E392" s="21"/>
      <c r="F392" s="22"/>
      <c r="G392" s="22"/>
      <c r="H392" s="22" t="str">
        <f t="shared" si="2"/>
        <v/>
      </c>
      <c r="I392" s="22">
        <f t="shared" si="3"/>
        <v>0</v>
      </c>
      <c r="J392" s="23" t="str">
        <f t="shared" si="4"/>
        <v/>
      </c>
      <c r="K392" s="22">
        <f t="shared" si="5"/>
        <v>0</v>
      </c>
      <c r="L392" s="22">
        <f t="shared" si="6"/>
        <v>0</v>
      </c>
      <c r="M392" s="23">
        <f t="shared" si="7"/>
        <v>0.0612</v>
      </c>
      <c r="N392" s="22">
        <f t="shared" si="8"/>
        <v>0</v>
      </c>
      <c r="O392" s="23">
        <f t="shared" si="9"/>
        <v>0.124</v>
      </c>
      <c r="P392" s="22">
        <f t="shared" si="10"/>
        <v>0</v>
      </c>
      <c r="Q392" s="20">
        <f>SUMIFS(Entradas!D:D,Entradas!B:B,B392,Entradas!C:C,C392) - SUMIFS(Vendas!E:E,Vendas!C:C,B392,Vendas!D:D,C392)</f>
        <v>0</v>
      </c>
    </row>
    <row r="393">
      <c r="A393" s="19" t="str">
        <f t="shared" si="1"/>
        <v>P393</v>
      </c>
      <c r="D393" s="19"/>
      <c r="E393" s="21"/>
      <c r="F393" s="22"/>
      <c r="G393" s="22"/>
      <c r="H393" s="22" t="str">
        <f t="shared" si="2"/>
        <v/>
      </c>
      <c r="I393" s="22">
        <f t="shared" si="3"/>
        <v>0</v>
      </c>
      <c r="J393" s="23" t="str">
        <f t="shared" si="4"/>
        <v/>
      </c>
      <c r="K393" s="22">
        <f t="shared" si="5"/>
        <v>0</v>
      </c>
      <c r="L393" s="22">
        <f t="shared" si="6"/>
        <v>0</v>
      </c>
      <c r="M393" s="23">
        <f t="shared" si="7"/>
        <v>0.0612</v>
      </c>
      <c r="N393" s="22">
        <f t="shared" si="8"/>
        <v>0</v>
      </c>
      <c r="O393" s="23">
        <f t="shared" si="9"/>
        <v>0.124</v>
      </c>
      <c r="P393" s="22">
        <f t="shared" si="10"/>
        <v>0</v>
      </c>
      <c r="Q393" s="20">
        <f>SUMIFS(Entradas!D:D,Entradas!B:B,B393,Entradas!C:C,C393) - SUMIFS(Vendas!E:E,Vendas!C:C,B393,Vendas!D:D,C393)</f>
        <v>0</v>
      </c>
    </row>
    <row r="394">
      <c r="A394" s="19" t="str">
        <f t="shared" si="1"/>
        <v>P394</v>
      </c>
      <c r="D394" s="19"/>
      <c r="E394" s="21"/>
      <c r="F394" s="22"/>
      <c r="G394" s="22"/>
      <c r="H394" s="22" t="str">
        <f t="shared" si="2"/>
        <v/>
      </c>
      <c r="I394" s="22">
        <f t="shared" si="3"/>
        <v>0</v>
      </c>
      <c r="J394" s="23" t="str">
        <f t="shared" si="4"/>
        <v/>
      </c>
      <c r="K394" s="22">
        <f t="shared" si="5"/>
        <v>0</v>
      </c>
      <c r="L394" s="22">
        <f t="shared" si="6"/>
        <v>0</v>
      </c>
      <c r="M394" s="23">
        <f t="shared" si="7"/>
        <v>0.0612</v>
      </c>
      <c r="N394" s="22">
        <f t="shared" si="8"/>
        <v>0</v>
      </c>
      <c r="O394" s="23">
        <f t="shared" si="9"/>
        <v>0.124</v>
      </c>
      <c r="P394" s="22">
        <f t="shared" si="10"/>
        <v>0</v>
      </c>
      <c r="Q394" s="20">
        <f>SUMIFS(Entradas!D:D,Entradas!B:B,B394,Entradas!C:C,C394) - SUMIFS(Vendas!E:E,Vendas!C:C,B394,Vendas!D:D,C394)</f>
        <v>0</v>
      </c>
    </row>
    <row r="395">
      <c r="A395" s="19" t="str">
        <f t="shared" si="1"/>
        <v>P395</v>
      </c>
      <c r="D395" s="19"/>
      <c r="E395" s="21"/>
      <c r="F395" s="22"/>
      <c r="G395" s="22"/>
      <c r="H395" s="22" t="str">
        <f t="shared" si="2"/>
        <v/>
      </c>
      <c r="I395" s="22">
        <f t="shared" si="3"/>
        <v>0</v>
      </c>
      <c r="J395" s="23" t="str">
        <f t="shared" si="4"/>
        <v/>
      </c>
      <c r="K395" s="22">
        <f t="shared" si="5"/>
        <v>0</v>
      </c>
      <c r="L395" s="22">
        <f t="shared" si="6"/>
        <v>0</v>
      </c>
      <c r="M395" s="23">
        <f t="shared" si="7"/>
        <v>0.0612</v>
      </c>
      <c r="N395" s="22">
        <f t="shared" si="8"/>
        <v>0</v>
      </c>
      <c r="O395" s="23">
        <f t="shared" si="9"/>
        <v>0.124</v>
      </c>
      <c r="P395" s="22">
        <f t="shared" si="10"/>
        <v>0</v>
      </c>
      <c r="Q395" s="20">
        <f>SUMIFS(Entradas!D:D,Entradas!B:B,B395,Entradas!C:C,C395) - SUMIFS(Vendas!E:E,Vendas!C:C,B395,Vendas!D:D,C395)</f>
        <v>0</v>
      </c>
    </row>
    <row r="396">
      <c r="A396" s="19" t="str">
        <f t="shared" si="1"/>
        <v>P396</v>
      </c>
      <c r="D396" s="19"/>
      <c r="E396" s="21"/>
      <c r="F396" s="22"/>
      <c r="G396" s="22"/>
      <c r="H396" s="22" t="str">
        <f t="shared" si="2"/>
        <v/>
      </c>
      <c r="I396" s="22">
        <f t="shared" si="3"/>
        <v>0</v>
      </c>
      <c r="J396" s="23" t="str">
        <f t="shared" si="4"/>
        <v/>
      </c>
      <c r="K396" s="22">
        <f t="shared" si="5"/>
        <v>0</v>
      </c>
      <c r="L396" s="22">
        <f t="shared" si="6"/>
        <v>0</v>
      </c>
      <c r="M396" s="23">
        <f t="shared" si="7"/>
        <v>0.0612</v>
      </c>
      <c r="N396" s="22">
        <f t="shared" si="8"/>
        <v>0</v>
      </c>
      <c r="O396" s="23">
        <f t="shared" si="9"/>
        <v>0.124</v>
      </c>
      <c r="P396" s="22">
        <f t="shared" si="10"/>
        <v>0</v>
      </c>
      <c r="Q396" s="20">
        <f>SUMIFS(Entradas!D:D,Entradas!B:B,B396,Entradas!C:C,C396) - SUMIFS(Vendas!E:E,Vendas!C:C,B396,Vendas!D:D,C396)</f>
        <v>0</v>
      </c>
    </row>
    <row r="397">
      <c r="A397" s="19" t="str">
        <f t="shared" si="1"/>
        <v>P397</v>
      </c>
      <c r="D397" s="19"/>
      <c r="E397" s="21"/>
      <c r="F397" s="22"/>
      <c r="G397" s="22"/>
      <c r="H397" s="22" t="str">
        <f t="shared" si="2"/>
        <v/>
      </c>
      <c r="I397" s="22">
        <f t="shared" si="3"/>
        <v>0</v>
      </c>
      <c r="J397" s="23" t="str">
        <f t="shared" si="4"/>
        <v/>
      </c>
      <c r="K397" s="22">
        <f t="shared" si="5"/>
        <v>0</v>
      </c>
      <c r="L397" s="22">
        <f t="shared" si="6"/>
        <v>0</v>
      </c>
      <c r="M397" s="23">
        <f t="shared" si="7"/>
        <v>0.0612</v>
      </c>
      <c r="N397" s="22">
        <f t="shared" si="8"/>
        <v>0</v>
      </c>
      <c r="O397" s="23">
        <f t="shared" si="9"/>
        <v>0.124</v>
      </c>
      <c r="P397" s="22">
        <f t="shared" si="10"/>
        <v>0</v>
      </c>
      <c r="Q397" s="20">
        <f>SUMIFS(Entradas!D:D,Entradas!B:B,B397,Entradas!C:C,C397) - SUMIFS(Vendas!E:E,Vendas!C:C,B397,Vendas!D:D,C397)</f>
        <v>0</v>
      </c>
    </row>
    <row r="398">
      <c r="A398" s="19" t="str">
        <f t="shared" si="1"/>
        <v>P398</v>
      </c>
      <c r="D398" s="19"/>
      <c r="E398" s="21"/>
      <c r="F398" s="22"/>
      <c r="G398" s="22"/>
      <c r="H398" s="22" t="str">
        <f t="shared" si="2"/>
        <v/>
      </c>
      <c r="I398" s="22">
        <f t="shared" si="3"/>
        <v>0</v>
      </c>
      <c r="J398" s="23" t="str">
        <f t="shared" si="4"/>
        <v/>
      </c>
      <c r="K398" s="22">
        <f t="shared" si="5"/>
        <v>0</v>
      </c>
      <c r="L398" s="22">
        <f t="shared" si="6"/>
        <v>0</v>
      </c>
      <c r="M398" s="23">
        <f t="shared" si="7"/>
        <v>0.0612</v>
      </c>
      <c r="N398" s="22">
        <f t="shared" si="8"/>
        <v>0</v>
      </c>
      <c r="O398" s="23">
        <f t="shared" si="9"/>
        <v>0.124</v>
      </c>
      <c r="P398" s="22">
        <f t="shared" si="10"/>
        <v>0</v>
      </c>
      <c r="Q398" s="20">
        <f>SUMIFS(Entradas!D:D,Entradas!B:B,B398,Entradas!C:C,C398) - SUMIFS(Vendas!E:E,Vendas!C:C,B398,Vendas!D:D,C398)</f>
        <v>0</v>
      </c>
    </row>
    <row r="399">
      <c r="A399" s="19" t="str">
        <f t="shared" si="1"/>
        <v>P399</v>
      </c>
      <c r="D399" s="19"/>
      <c r="E399" s="21"/>
      <c r="F399" s="22"/>
      <c r="G399" s="22"/>
      <c r="H399" s="22" t="str">
        <f t="shared" si="2"/>
        <v/>
      </c>
      <c r="I399" s="22">
        <f t="shared" si="3"/>
        <v>0</v>
      </c>
      <c r="J399" s="23" t="str">
        <f t="shared" si="4"/>
        <v/>
      </c>
      <c r="K399" s="22">
        <f t="shared" si="5"/>
        <v>0</v>
      </c>
      <c r="L399" s="22">
        <f t="shared" si="6"/>
        <v>0</v>
      </c>
      <c r="M399" s="23">
        <f t="shared" si="7"/>
        <v>0.0612</v>
      </c>
      <c r="N399" s="22">
        <f t="shared" si="8"/>
        <v>0</v>
      </c>
      <c r="O399" s="23">
        <f t="shared" si="9"/>
        <v>0.124</v>
      </c>
      <c r="P399" s="22">
        <f t="shared" si="10"/>
        <v>0</v>
      </c>
      <c r="Q399" s="20">
        <f>SUMIFS(Entradas!D:D,Entradas!B:B,B399,Entradas!C:C,C399) - SUMIFS(Vendas!E:E,Vendas!C:C,B399,Vendas!D:D,C399)</f>
        <v>0</v>
      </c>
    </row>
    <row r="400">
      <c r="D400" s="19"/>
      <c r="Q400" s="9"/>
    </row>
    <row r="401">
      <c r="D401" s="19"/>
      <c r="Q401" s="9"/>
    </row>
    <row r="402">
      <c r="D402" s="19"/>
      <c r="Q402" s="9"/>
    </row>
    <row r="403">
      <c r="D403" s="19"/>
      <c r="Q403" s="9"/>
    </row>
    <row r="404">
      <c r="D404" s="19"/>
      <c r="Q404" s="9"/>
    </row>
    <row r="405">
      <c r="D405" s="19"/>
      <c r="Q405" s="9"/>
    </row>
    <row r="406">
      <c r="D406" s="19"/>
      <c r="Q406" s="9"/>
    </row>
    <row r="407">
      <c r="D407" s="19"/>
      <c r="Q407" s="9"/>
    </row>
    <row r="408">
      <c r="D408" s="19"/>
      <c r="Q408" s="9"/>
    </row>
    <row r="409">
      <c r="D409" s="19"/>
      <c r="Q409" s="9"/>
    </row>
    <row r="410">
      <c r="D410" s="19"/>
      <c r="Q410" s="9"/>
    </row>
    <row r="411">
      <c r="D411" s="19"/>
      <c r="Q411" s="9"/>
    </row>
    <row r="412">
      <c r="D412" s="19"/>
      <c r="Q412" s="9"/>
    </row>
    <row r="413">
      <c r="D413" s="19"/>
      <c r="Q413" s="9"/>
    </row>
    <row r="414">
      <c r="D414" s="19"/>
      <c r="Q414" s="9"/>
    </row>
    <row r="415">
      <c r="D415" s="19"/>
      <c r="Q415" s="9"/>
    </row>
    <row r="416">
      <c r="D416" s="19"/>
      <c r="Q416" s="9"/>
    </row>
    <row r="417">
      <c r="D417" s="19"/>
      <c r="Q417" s="9"/>
    </row>
    <row r="418">
      <c r="D418" s="19"/>
      <c r="Q418" s="9"/>
    </row>
    <row r="419">
      <c r="D419" s="19"/>
      <c r="Q419" s="9"/>
    </row>
    <row r="420">
      <c r="D420" s="19"/>
      <c r="Q420" s="9"/>
    </row>
    <row r="421">
      <c r="D421" s="19"/>
      <c r="Q421" s="9"/>
    </row>
    <row r="422">
      <c r="D422" s="19"/>
      <c r="Q422" s="9"/>
    </row>
    <row r="423">
      <c r="D423" s="19"/>
      <c r="Q423" s="9"/>
    </row>
    <row r="424">
      <c r="D424" s="19"/>
      <c r="Q424" s="9"/>
    </row>
    <row r="425">
      <c r="D425" s="19"/>
      <c r="Q425" s="9"/>
    </row>
    <row r="426">
      <c r="D426" s="19"/>
      <c r="Q426" s="9"/>
    </row>
    <row r="427">
      <c r="D427" s="19"/>
      <c r="Q427" s="9"/>
    </row>
    <row r="428">
      <c r="D428" s="19"/>
      <c r="Q428" s="9"/>
    </row>
    <row r="429">
      <c r="D429" s="19"/>
      <c r="Q429" s="9"/>
    </row>
    <row r="430">
      <c r="D430" s="19"/>
      <c r="Q430" s="9"/>
    </row>
    <row r="431">
      <c r="D431" s="19"/>
      <c r="Q431" s="9"/>
    </row>
    <row r="432">
      <c r="D432" s="19"/>
      <c r="Q432" s="9"/>
    </row>
    <row r="433">
      <c r="D433" s="19"/>
      <c r="Q433" s="9"/>
    </row>
    <row r="434">
      <c r="D434" s="19"/>
      <c r="Q434" s="9"/>
    </row>
    <row r="435">
      <c r="D435" s="19"/>
      <c r="Q435" s="9"/>
    </row>
    <row r="436">
      <c r="D436" s="19"/>
      <c r="Q436" s="9"/>
    </row>
    <row r="437">
      <c r="D437" s="19"/>
      <c r="Q437" s="9"/>
    </row>
    <row r="438">
      <c r="D438" s="19"/>
      <c r="Q438" s="9"/>
    </row>
    <row r="439">
      <c r="D439" s="19"/>
      <c r="Q439" s="9"/>
    </row>
    <row r="440">
      <c r="D440" s="19"/>
      <c r="Q440" s="9"/>
    </row>
    <row r="441">
      <c r="D441" s="19"/>
      <c r="Q441" s="9"/>
    </row>
    <row r="442">
      <c r="D442" s="19"/>
      <c r="Q442" s="9"/>
    </row>
    <row r="443">
      <c r="D443" s="19"/>
      <c r="Q443" s="9"/>
    </row>
    <row r="444">
      <c r="D444" s="19"/>
      <c r="Q444" s="9"/>
    </row>
    <row r="445">
      <c r="D445" s="19"/>
      <c r="Q445" s="9"/>
    </row>
    <row r="446">
      <c r="D446" s="19"/>
      <c r="Q446" s="9"/>
    </row>
    <row r="447">
      <c r="D447" s="19"/>
      <c r="Q447" s="9"/>
    </row>
    <row r="448">
      <c r="D448" s="19"/>
      <c r="Q448" s="9"/>
    </row>
    <row r="449">
      <c r="D449" s="19"/>
      <c r="Q449" s="9"/>
    </row>
    <row r="450">
      <c r="D450" s="19"/>
      <c r="Q450" s="9"/>
    </row>
    <row r="451">
      <c r="D451" s="19"/>
      <c r="Q451" s="9"/>
    </row>
    <row r="452">
      <c r="D452" s="19"/>
      <c r="Q452" s="9"/>
    </row>
    <row r="453">
      <c r="D453" s="19"/>
      <c r="Q453" s="9"/>
    </row>
    <row r="454">
      <c r="D454" s="19"/>
      <c r="Q454" s="9"/>
    </row>
    <row r="455">
      <c r="D455" s="19"/>
      <c r="Q455" s="9"/>
    </row>
    <row r="456">
      <c r="D456" s="19"/>
      <c r="Q456" s="9"/>
    </row>
    <row r="457">
      <c r="D457" s="19"/>
      <c r="Q457" s="9"/>
    </row>
    <row r="458">
      <c r="D458" s="19"/>
      <c r="Q458" s="9"/>
    </row>
    <row r="459">
      <c r="D459" s="19"/>
      <c r="Q459" s="9"/>
    </row>
    <row r="460">
      <c r="D460" s="19"/>
      <c r="Q460" s="9"/>
    </row>
    <row r="461">
      <c r="D461" s="19"/>
      <c r="Q461" s="9"/>
    </row>
    <row r="462">
      <c r="D462" s="19"/>
      <c r="Q462" s="9"/>
    </row>
    <row r="463">
      <c r="D463" s="19"/>
      <c r="Q463" s="9"/>
    </row>
    <row r="464">
      <c r="D464" s="19"/>
      <c r="Q464" s="9"/>
    </row>
    <row r="465">
      <c r="D465" s="19"/>
      <c r="Q465" s="9"/>
    </row>
    <row r="466">
      <c r="D466" s="19"/>
      <c r="Q466" s="9"/>
    </row>
    <row r="467">
      <c r="D467" s="19"/>
      <c r="Q467" s="9"/>
    </row>
    <row r="468">
      <c r="D468" s="19"/>
      <c r="Q468" s="9"/>
    </row>
    <row r="469">
      <c r="D469" s="19"/>
      <c r="Q469" s="9"/>
    </row>
    <row r="470">
      <c r="D470" s="19"/>
      <c r="Q470" s="9"/>
    </row>
    <row r="471">
      <c r="D471" s="19"/>
      <c r="Q471" s="9"/>
    </row>
    <row r="472">
      <c r="D472" s="19"/>
      <c r="Q472" s="9"/>
    </row>
    <row r="473">
      <c r="D473" s="19"/>
      <c r="Q473" s="9"/>
    </row>
    <row r="474">
      <c r="D474" s="19"/>
      <c r="Q474" s="9"/>
    </row>
    <row r="475">
      <c r="D475" s="19"/>
      <c r="Q475" s="9"/>
    </row>
    <row r="476">
      <c r="D476" s="19"/>
      <c r="Q476" s="9"/>
    </row>
    <row r="477">
      <c r="D477" s="19"/>
      <c r="Q477" s="9"/>
    </row>
    <row r="478">
      <c r="D478" s="19"/>
      <c r="Q478" s="9"/>
    </row>
    <row r="479">
      <c r="D479" s="19"/>
      <c r="Q479" s="9"/>
    </row>
    <row r="480">
      <c r="D480" s="19"/>
      <c r="Q480" s="9"/>
    </row>
    <row r="481">
      <c r="D481" s="19"/>
      <c r="Q481" s="9"/>
    </row>
    <row r="482">
      <c r="D482" s="19"/>
      <c r="Q482" s="9"/>
    </row>
    <row r="483">
      <c r="D483" s="19"/>
      <c r="Q483" s="9"/>
    </row>
    <row r="484">
      <c r="D484" s="19"/>
      <c r="Q484" s="9"/>
    </row>
    <row r="485">
      <c r="D485" s="19"/>
      <c r="Q485" s="9"/>
    </row>
    <row r="486">
      <c r="D486" s="19"/>
      <c r="Q486" s="9"/>
    </row>
    <row r="487">
      <c r="D487" s="19"/>
      <c r="Q487" s="9"/>
    </row>
    <row r="488">
      <c r="D488" s="19"/>
      <c r="Q488" s="9"/>
    </row>
    <row r="489">
      <c r="D489" s="19"/>
      <c r="Q489" s="9"/>
    </row>
    <row r="490">
      <c r="D490" s="19"/>
      <c r="Q490" s="9"/>
    </row>
    <row r="491">
      <c r="D491" s="19"/>
      <c r="Q491" s="9"/>
    </row>
    <row r="492">
      <c r="D492" s="19"/>
      <c r="Q492" s="9"/>
    </row>
    <row r="493">
      <c r="D493" s="19"/>
      <c r="Q493" s="9"/>
    </row>
    <row r="494">
      <c r="D494" s="19"/>
      <c r="Q494" s="9"/>
    </row>
    <row r="495">
      <c r="D495" s="19"/>
      <c r="Q495" s="9"/>
    </row>
    <row r="496">
      <c r="D496" s="19"/>
      <c r="Q496" s="9"/>
    </row>
    <row r="497">
      <c r="D497" s="19"/>
      <c r="Q497" s="9"/>
    </row>
    <row r="498">
      <c r="D498" s="19"/>
      <c r="Q498" s="9"/>
    </row>
    <row r="499">
      <c r="D499" s="19"/>
      <c r="Q499" s="9"/>
    </row>
    <row r="500">
      <c r="D500" s="19"/>
      <c r="Q500" s="9"/>
    </row>
    <row r="501">
      <c r="D501" s="19"/>
      <c r="Q501" s="9"/>
    </row>
    <row r="502">
      <c r="D502" s="19"/>
      <c r="Q502" s="9"/>
    </row>
    <row r="503">
      <c r="D503" s="19"/>
      <c r="Q503" s="9"/>
    </row>
    <row r="504">
      <c r="D504" s="19"/>
      <c r="Q504" s="9"/>
    </row>
    <row r="505">
      <c r="D505" s="19"/>
      <c r="Q505" s="9"/>
    </row>
    <row r="506">
      <c r="D506" s="19"/>
      <c r="Q506" s="9"/>
    </row>
    <row r="507">
      <c r="D507" s="19"/>
      <c r="Q507" s="9"/>
    </row>
    <row r="508">
      <c r="D508" s="19"/>
      <c r="Q508" s="9"/>
    </row>
    <row r="509">
      <c r="D509" s="19"/>
      <c r="Q509" s="9"/>
    </row>
    <row r="510">
      <c r="D510" s="19"/>
      <c r="Q510" s="9"/>
    </row>
    <row r="511">
      <c r="D511" s="19"/>
      <c r="Q511" s="9"/>
    </row>
    <row r="512">
      <c r="D512" s="19"/>
      <c r="Q512" s="9"/>
    </row>
    <row r="513">
      <c r="D513" s="19"/>
      <c r="Q513" s="9"/>
    </row>
    <row r="514">
      <c r="D514" s="19"/>
      <c r="Q514" s="9"/>
    </row>
    <row r="515">
      <c r="D515" s="19"/>
      <c r="Q515" s="9"/>
    </row>
    <row r="516">
      <c r="D516" s="19"/>
      <c r="Q516" s="9"/>
    </row>
    <row r="517">
      <c r="D517" s="19"/>
      <c r="Q517" s="9"/>
    </row>
    <row r="518">
      <c r="D518" s="19"/>
      <c r="Q518" s="9"/>
    </row>
    <row r="519">
      <c r="D519" s="19"/>
      <c r="Q519" s="9"/>
    </row>
    <row r="520">
      <c r="D520" s="19"/>
      <c r="Q520" s="9"/>
    </row>
    <row r="521">
      <c r="D521" s="19"/>
      <c r="Q521" s="9"/>
    </row>
    <row r="522">
      <c r="D522" s="19"/>
      <c r="Q522" s="9"/>
    </row>
    <row r="523">
      <c r="D523" s="19"/>
      <c r="Q523" s="9"/>
    </row>
    <row r="524">
      <c r="D524" s="19"/>
      <c r="Q524" s="9"/>
    </row>
    <row r="525">
      <c r="D525" s="19"/>
      <c r="Q525" s="9"/>
    </row>
    <row r="526">
      <c r="D526" s="19"/>
      <c r="Q526" s="9"/>
    </row>
    <row r="527">
      <c r="D527" s="19"/>
      <c r="Q527" s="9"/>
    </row>
    <row r="528">
      <c r="D528" s="19"/>
      <c r="Q528" s="9"/>
    </row>
    <row r="529">
      <c r="D529" s="19"/>
      <c r="Q529" s="9"/>
    </row>
    <row r="530">
      <c r="D530" s="19"/>
      <c r="Q530" s="9"/>
    </row>
    <row r="531">
      <c r="D531" s="19"/>
      <c r="Q531" s="9"/>
    </row>
    <row r="532">
      <c r="D532" s="19"/>
      <c r="Q532" s="9"/>
    </row>
    <row r="533">
      <c r="D533" s="19"/>
      <c r="Q533" s="9"/>
    </row>
    <row r="534">
      <c r="D534" s="19"/>
      <c r="Q534" s="9"/>
    </row>
    <row r="535">
      <c r="D535" s="19"/>
      <c r="Q535" s="9"/>
    </row>
    <row r="536">
      <c r="D536" s="19"/>
      <c r="Q536" s="9"/>
    </row>
    <row r="537">
      <c r="D537" s="19"/>
      <c r="Q537" s="9"/>
    </row>
    <row r="538">
      <c r="D538" s="19"/>
      <c r="Q538" s="9"/>
    </row>
    <row r="539">
      <c r="D539" s="19"/>
      <c r="Q539" s="9"/>
    </row>
    <row r="540">
      <c r="D540" s="19"/>
      <c r="Q540" s="9"/>
    </row>
    <row r="541">
      <c r="D541" s="19"/>
      <c r="Q541" s="9"/>
    </row>
    <row r="542">
      <c r="D542" s="19"/>
      <c r="Q542" s="9"/>
    </row>
    <row r="543">
      <c r="D543" s="19"/>
      <c r="Q543" s="9"/>
    </row>
    <row r="544">
      <c r="D544" s="19"/>
      <c r="Q544" s="9"/>
    </row>
    <row r="545">
      <c r="D545" s="19"/>
      <c r="Q545" s="9"/>
    </row>
    <row r="546">
      <c r="D546" s="19"/>
      <c r="Q546" s="9"/>
    </row>
    <row r="547">
      <c r="D547" s="19"/>
      <c r="Q547" s="9"/>
    </row>
    <row r="548">
      <c r="D548" s="19"/>
      <c r="Q548" s="9"/>
    </row>
    <row r="549">
      <c r="D549" s="19"/>
      <c r="Q549" s="9"/>
    </row>
    <row r="550">
      <c r="D550" s="19"/>
      <c r="Q550" s="9"/>
    </row>
    <row r="551">
      <c r="D551" s="19"/>
      <c r="Q551" s="9"/>
    </row>
    <row r="552">
      <c r="D552" s="19"/>
      <c r="Q552" s="9"/>
    </row>
    <row r="553">
      <c r="D553" s="19"/>
      <c r="Q553" s="9"/>
    </row>
    <row r="554">
      <c r="D554" s="19"/>
      <c r="Q554" s="9"/>
    </row>
    <row r="555">
      <c r="D555" s="19"/>
      <c r="Q555" s="9"/>
    </row>
    <row r="556">
      <c r="D556" s="19"/>
      <c r="Q556" s="9"/>
    </row>
    <row r="557">
      <c r="D557" s="19"/>
      <c r="Q557" s="9"/>
    </row>
    <row r="558">
      <c r="D558" s="19"/>
      <c r="Q558" s="9"/>
    </row>
    <row r="559">
      <c r="D559" s="19"/>
      <c r="Q559" s="9"/>
    </row>
    <row r="560">
      <c r="D560" s="19"/>
      <c r="Q560" s="9"/>
    </row>
    <row r="561">
      <c r="D561" s="19"/>
      <c r="Q561" s="9"/>
    </row>
    <row r="562">
      <c r="D562" s="19"/>
      <c r="Q562" s="9"/>
    </row>
    <row r="563">
      <c r="D563" s="19"/>
      <c r="Q563" s="9"/>
    </row>
    <row r="564">
      <c r="D564" s="19"/>
      <c r="Q564" s="9"/>
    </row>
    <row r="565">
      <c r="D565" s="19"/>
      <c r="Q565" s="9"/>
    </row>
    <row r="566">
      <c r="D566" s="19"/>
      <c r="Q566" s="9"/>
    </row>
    <row r="567">
      <c r="D567" s="19"/>
      <c r="Q567" s="9"/>
    </row>
    <row r="568">
      <c r="D568" s="19"/>
      <c r="Q568" s="9"/>
    </row>
    <row r="569">
      <c r="D569" s="19"/>
      <c r="Q569" s="9"/>
    </row>
    <row r="570">
      <c r="D570" s="19"/>
      <c r="Q570" s="9"/>
    </row>
    <row r="571">
      <c r="D571" s="19"/>
      <c r="Q571" s="9"/>
    </row>
    <row r="572">
      <c r="D572" s="19"/>
      <c r="Q572" s="9"/>
    </row>
    <row r="573">
      <c r="D573" s="19"/>
      <c r="Q573" s="9"/>
    </row>
    <row r="574">
      <c r="D574" s="19"/>
      <c r="Q574" s="9"/>
    </row>
    <row r="575">
      <c r="D575" s="19"/>
      <c r="Q575" s="9"/>
    </row>
    <row r="576">
      <c r="D576" s="19"/>
      <c r="Q576" s="9"/>
    </row>
    <row r="577">
      <c r="D577" s="19"/>
      <c r="Q577" s="9"/>
    </row>
    <row r="578">
      <c r="D578" s="19"/>
      <c r="Q578" s="9"/>
    </row>
    <row r="579">
      <c r="D579" s="19"/>
      <c r="Q579" s="9"/>
    </row>
    <row r="580">
      <c r="D580" s="19"/>
      <c r="Q580" s="9"/>
    </row>
    <row r="581">
      <c r="D581" s="19"/>
      <c r="Q581" s="9"/>
    </row>
    <row r="582">
      <c r="D582" s="19"/>
      <c r="Q582" s="9"/>
    </row>
    <row r="583">
      <c r="D583" s="19"/>
      <c r="Q583" s="9"/>
    </row>
    <row r="584">
      <c r="D584" s="19"/>
      <c r="Q584" s="9"/>
    </row>
    <row r="585">
      <c r="D585" s="19"/>
      <c r="Q585" s="9"/>
    </row>
    <row r="586">
      <c r="D586" s="19"/>
      <c r="Q586" s="9"/>
    </row>
    <row r="587">
      <c r="D587" s="19"/>
      <c r="Q587" s="9"/>
    </row>
    <row r="588">
      <c r="D588" s="19"/>
      <c r="Q588" s="9"/>
    </row>
    <row r="589">
      <c r="D589" s="19"/>
      <c r="Q589" s="9"/>
    </row>
    <row r="590">
      <c r="D590" s="19"/>
      <c r="Q590" s="9"/>
    </row>
    <row r="591">
      <c r="D591" s="19"/>
      <c r="Q591" s="9"/>
    </row>
    <row r="592">
      <c r="D592" s="19"/>
      <c r="Q592" s="9"/>
    </row>
    <row r="593">
      <c r="D593" s="19"/>
      <c r="Q593" s="9"/>
    </row>
    <row r="594">
      <c r="D594" s="19"/>
      <c r="Q594" s="9"/>
    </row>
    <row r="595">
      <c r="D595" s="19"/>
      <c r="Q595" s="9"/>
    </row>
    <row r="596">
      <c r="D596" s="19"/>
      <c r="Q596" s="9"/>
    </row>
    <row r="597">
      <c r="D597" s="19"/>
      <c r="Q597" s="9"/>
    </row>
    <row r="598">
      <c r="D598" s="19"/>
      <c r="Q598" s="9"/>
    </row>
    <row r="599">
      <c r="D599" s="19"/>
      <c r="Q599" s="9"/>
    </row>
    <row r="600">
      <c r="D600" s="19"/>
      <c r="Q600" s="9"/>
    </row>
    <row r="601">
      <c r="D601" s="19"/>
      <c r="Q601" s="9"/>
    </row>
    <row r="602">
      <c r="D602" s="19"/>
      <c r="Q602" s="9"/>
    </row>
    <row r="603">
      <c r="D603" s="19"/>
      <c r="Q603" s="9"/>
    </row>
    <row r="604">
      <c r="D604" s="19"/>
      <c r="Q604" s="9"/>
    </row>
    <row r="605">
      <c r="D605" s="19"/>
      <c r="Q605" s="9"/>
    </row>
    <row r="606">
      <c r="D606" s="19"/>
      <c r="Q606" s="9"/>
    </row>
    <row r="607">
      <c r="D607" s="19"/>
      <c r="Q607" s="9"/>
    </row>
    <row r="608">
      <c r="D608" s="19"/>
      <c r="Q608" s="9"/>
    </row>
    <row r="609">
      <c r="D609" s="19"/>
      <c r="Q609" s="9"/>
    </row>
    <row r="610">
      <c r="D610" s="19"/>
      <c r="Q610" s="9"/>
    </row>
    <row r="611">
      <c r="D611" s="19"/>
      <c r="Q611" s="9"/>
    </row>
    <row r="612">
      <c r="D612" s="19"/>
      <c r="Q612" s="9"/>
    </row>
    <row r="613">
      <c r="D613" s="19"/>
      <c r="Q613" s="9"/>
    </row>
    <row r="614">
      <c r="D614" s="19"/>
      <c r="Q614" s="9"/>
    </row>
    <row r="615">
      <c r="D615" s="19"/>
      <c r="Q615" s="9"/>
    </row>
    <row r="616">
      <c r="D616" s="19"/>
      <c r="Q616" s="9"/>
    </row>
    <row r="617">
      <c r="D617" s="19"/>
      <c r="Q617" s="9"/>
    </row>
    <row r="618">
      <c r="D618" s="19"/>
      <c r="Q618" s="9"/>
    </row>
    <row r="619">
      <c r="D619" s="19"/>
      <c r="Q619" s="9"/>
    </row>
    <row r="620">
      <c r="D620" s="19"/>
      <c r="Q620" s="9"/>
    </row>
    <row r="621">
      <c r="D621" s="19"/>
      <c r="Q621" s="9"/>
    </row>
    <row r="622">
      <c r="D622" s="19"/>
      <c r="Q622" s="9"/>
    </row>
    <row r="623">
      <c r="D623" s="19"/>
      <c r="Q623" s="9"/>
    </row>
    <row r="624">
      <c r="D624" s="19"/>
      <c r="Q624" s="9"/>
    </row>
    <row r="625">
      <c r="D625" s="19"/>
      <c r="Q625" s="9"/>
    </row>
    <row r="626">
      <c r="D626" s="19"/>
      <c r="Q626" s="9"/>
    </row>
    <row r="627">
      <c r="D627" s="19"/>
      <c r="Q627" s="9"/>
    </row>
    <row r="628">
      <c r="D628" s="19"/>
      <c r="Q628" s="9"/>
    </row>
    <row r="629">
      <c r="D629" s="19"/>
      <c r="Q629" s="9"/>
    </row>
    <row r="630">
      <c r="D630" s="19"/>
      <c r="Q630" s="9"/>
    </row>
    <row r="631">
      <c r="D631" s="19"/>
      <c r="Q631" s="9"/>
    </row>
    <row r="632">
      <c r="D632" s="19"/>
      <c r="Q632" s="9"/>
    </row>
    <row r="633">
      <c r="D633" s="19"/>
      <c r="Q633" s="9"/>
    </row>
    <row r="634">
      <c r="D634" s="19"/>
      <c r="Q634" s="9"/>
    </row>
    <row r="635">
      <c r="D635" s="19"/>
      <c r="Q635" s="9"/>
    </row>
    <row r="636">
      <c r="D636" s="19"/>
      <c r="Q636" s="9"/>
    </row>
    <row r="637">
      <c r="D637" s="19"/>
      <c r="Q637" s="9"/>
    </row>
    <row r="638">
      <c r="D638" s="19"/>
      <c r="Q638" s="9"/>
    </row>
    <row r="639">
      <c r="D639" s="19"/>
      <c r="Q639" s="9"/>
    </row>
    <row r="640">
      <c r="D640" s="19"/>
      <c r="Q640" s="9"/>
    </row>
    <row r="641">
      <c r="D641" s="19"/>
      <c r="Q641" s="9"/>
    </row>
    <row r="642">
      <c r="D642" s="19"/>
      <c r="Q642" s="9"/>
    </row>
    <row r="643">
      <c r="D643" s="19"/>
      <c r="Q643" s="9"/>
    </row>
    <row r="644">
      <c r="D644" s="19"/>
      <c r="Q644" s="9"/>
    </row>
    <row r="645">
      <c r="D645" s="19"/>
      <c r="Q645" s="9"/>
    </row>
    <row r="646">
      <c r="D646" s="19"/>
      <c r="Q646" s="9"/>
    </row>
    <row r="647">
      <c r="D647" s="19"/>
      <c r="Q647" s="9"/>
    </row>
    <row r="648">
      <c r="D648" s="19"/>
      <c r="Q648" s="9"/>
    </row>
    <row r="649">
      <c r="D649" s="19"/>
      <c r="Q649" s="9"/>
    </row>
    <row r="650">
      <c r="D650" s="19"/>
      <c r="Q650" s="9"/>
    </row>
    <row r="651">
      <c r="D651" s="19"/>
      <c r="Q651" s="9"/>
    </row>
    <row r="652">
      <c r="D652" s="19"/>
      <c r="Q652" s="9"/>
    </row>
    <row r="653">
      <c r="D653" s="19"/>
      <c r="Q653" s="9"/>
    </row>
    <row r="654">
      <c r="D654" s="19"/>
      <c r="Q654" s="9"/>
    </row>
    <row r="655">
      <c r="D655" s="19"/>
      <c r="Q655" s="9"/>
    </row>
    <row r="656">
      <c r="D656" s="19"/>
      <c r="Q656" s="9"/>
    </row>
    <row r="657">
      <c r="D657" s="19"/>
      <c r="Q657" s="9"/>
    </row>
    <row r="658">
      <c r="D658" s="19"/>
      <c r="Q658" s="9"/>
    </row>
    <row r="659">
      <c r="D659" s="19"/>
      <c r="Q659" s="9"/>
    </row>
    <row r="660">
      <c r="D660" s="19"/>
      <c r="Q660" s="9"/>
    </row>
    <row r="661">
      <c r="D661" s="19"/>
      <c r="Q661" s="9"/>
    </row>
    <row r="662">
      <c r="D662" s="19"/>
      <c r="Q662" s="9"/>
    </row>
    <row r="663">
      <c r="D663" s="19"/>
      <c r="Q663" s="9"/>
    </row>
    <row r="664">
      <c r="D664" s="19"/>
      <c r="Q664" s="9"/>
    </row>
    <row r="665">
      <c r="D665" s="19"/>
      <c r="Q665" s="9"/>
    </row>
    <row r="666">
      <c r="D666" s="19"/>
      <c r="Q666" s="9"/>
    </row>
    <row r="667">
      <c r="D667" s="19"/>
      <c r="Q667" s="9"/>
    </row>
    <row r="668">
      <c r="D668" s="19"/>
      <c r="Q668" s="9"/>
    </row>
    <row r="669">
      <c r="D669" s="19"/>
      <c r="Q669" s="9"/>
    </row>
    <row r="670">
      <c r="D670" s="19"/>
      <c r="Q670" s="9"/>
    </row>
    <row r="671">
      <c r="D671" s="19"/>
      <c r="Q671" s="9"/>
    </row>
    <row r="672">
      <c r="D672" s="19"/>
      <c r="Q672" s="9"/>
    </row>
    <row r="673">
      <c r="D673" s="19"/>
      <c r="Q673" s="9"/>
    </row>
    <row r="674">
      <c r="D674" s="19"/>
      <c r="Q674" s="9"/>
    </row>
    <row r="675">
      <c r="D675" s="19"/>
      <c r="Q675" s="9"/>
    </row>
    <row r="676">
      <c r="D676" s="19"/>
      <c r="Q676" s="9"/>
    </row>
    <row r="677">
      <c r="D677" s="19"/>
      <c r="Q677" s="9"/>
    </row>
    <row r="678">
      <c r="D678" s="19"/>
      <c r="Q678" s="9"/>
    </row>
    <row r="679">
      <c r="D679" s="19"/>
      <c r="Q679" s="9"/>
    </row>
    <row r="680">
      <c r="D680" s="19"/>
      <c r="Q680" s="9"/>
    </row>
    <row r="681">
      <c r="D681" s="19"/>
      <c r="Q681" s="9"/>
    </row>
    <row r="682">
      <c r="D682" s="19"/>
      <c r="Q682" s="9"/>
    </row>
    <row r="683">
      <c r="D683" s="19"/>
      <c r="Q683" s="9"/>
    </row>
    <row r="684">
      <c r="D684" s="19"/>
      <c r="Q684" s="9"/>
    </row>
    <row r="685">
      <c r="D685" s="19"/>
      <c r="Q685" s="9"/>
    </row>
    <row r="686">
      <c r="D686" s="19"/>
      <c r="Q686" s="9"/>
    </row>
    <row r="687">
      <c r="D687" s="19"/>
      <c r="Q687" s="9"/>
    </row>
    <row r="688">
      <c r="D688" s="19"/>
      <c r="Q688" s="9"/>
    </row>
    <row r="689">
      <c r="D689" s="19"/>
      <c r="Q689" s="9"/>
    </row>
    <row r="690">
      <c r="D690" s="19"/>
      <c r="Q690" s="9"/>
    </row>
    <row r="691">
      <c r="D691" s="19"/>
      <c r="Q691" s="9"/>
    </row>
    <row r="692">
      <c r="D692" s="19"/>
      <c r="Q692" s="9"/>
    </row>
    <row r="693">
      <c r="D693" s="19"/>
      <c r="Q693" s="9"/>
    </row>
    <row r="694">
      <c r="D694" s="19"/>
      <c r="Q694" s="9"/>
    </row>
    <row r="695">
      <c r="D695" s="19"/>
      <c r="Q695" s="9"/>
    </row>
    <row r="696">
      <c r="D696" s="19"/>
      <c r="Q696" s="9"/>
    </row>
    <row r="697">
      <c r="D697" s="19"/>
      <c r="Q697" s="9"/>
    </row>
    <row r="698">
      <c r="D698" s="19"/>
      <c r="Q698" s="9"/>
    </row>
    <row r="699">
      <c r="D699" s="19"/>
      <c r="Q699" s="9"/>
    </row>
    <row r="700">
      <c r="D700" s="19"/>
      <c r="Q700" s="9"/>
    </row>
    <row r="701">
      <c r="D701" s="19"/>
      <c r="Q701" s="9"/>
    </row>
    <row r="702">
      <c r="D702" s="19"/>
      <c r="Q702" s="9"/>
    </row>
    <row r="703">
      <c r="D703" s="19"/>
      <c r="Q703" s="9"/>
    </row>
    <row r="704">
      <c r="D704" s="19"/>
      <c r="Q704" s="9"/>
    </row>
    <row r="705">
      <c r="D705" s="19"/>
      <c r="Q705" s="9"/>
    </row>
    <row r="706">
      <c r="D706" s="19"/>
      <c r="Q706" s="9"/>
    </row>
    <row r="707">
      <c r="D707" s="19"/>
      <c r="Q707" s="9"/>
    </row>
    <row r="708">
      <c r="D708" s="19"/>
      <c r="Q708" s="9"/>
    </row>
    <row r="709">
      <c r="D709" s="19"/>
      <c r="Q709" s="9"/>
    </row>
    <row r="710">
      <c r="D710" s="19"/>
      <c r="Q710" s="9"/>
    </row>
    <row r="711">
      <c r="D711" s="19"/>
      <c r="Q711" s="9"/>
    </row>
    <row r="712">
      <c r="D712" s="19"/>
      <c r="Q712" s="9"/>
    </row>
    <row r="713">
      <c r="D713" s="19"/>
      <c r="Q713" s="9"/>
    </row>
    <row r="714">
      <c r="D714" s="19"/>
      <c r="Q714" s="9"/>
    </row>
    <row r="715">
      <c r="D715" s="19"/>
      <c r="Q715" s="9"/>
    </row>
    <row r="716">
      <c r="D716" s="19"/>
      <c r="Q716" s="9"/>
    </row>
    <row r="717">
      <c r="D717" s="19"/>
      <c r="Q717" s="9"/>
    </row>
    <row r="718">
      <c r="D718" s="19"/>
      <c r="Q718" s="9"/>
    </row>
    <row r="719">
      <c r="D719" s="19"/>
      <c r="Q719" s="9"/>
    </row>
    <row r="720">
      <c r="D720" s="19"/>
      <c r="Q720" s="9"/>
    </row>
    <row r="721">
      <c r="D721" s="19"/>
      <c r="Q721" s="9"/>
    </row>
    <row r="722">
      <c r="D722" s="19"/>
      <c r="Q722" s="9"/>
    </row>
    <row r="723">
      <c r="D723" s="19"/>
      <c r="Q723" s="9"/>
    </row>
    <row r="724">
      <c r="D724" s="19"/>
      <c r="Q724" s="9"/>
    </row>
    <row r="725">
      <c r="D725" s="19"/>
      <c r="Q725" s="9"/>
    </row>
    <row r="726">
      <c r="D726" s="19"/>
      <c r="Q726" s="9"/>
    </row>
    <row r="727">
      <c r="D727" s="19"/>
      <c r="Q727" s="9"/>
    </row>
    <row r="728">
      <c r="D728" s="19"/>
      <c r="Q728" s="9"/>
    </row>
    <row r="729">
      <c r="D729" s="19"/>
      <c r="Q729" s="9"/>
    </row>
    <row r="730">
      <c r="D730" s="19"/>
      <c r="Q730" s="9"/>
    </row>
    <row r="731">
      <c r="D731" s="19"/>
      <c r="Q731" s="9"/>
    </row>
    <row r="732">
      <c r="D732" s="19"/>
      <c r="Q732" s="9"/>
    </row>
    <row r="733">
      <c r="D733" s="19"/>
      <c r="Q733" s="9"/>
    </row>
    <row r="734">
      <c r="D734" s="19"/>
      <c r="Q734" s="9"/>
    </row>
    <row r="735">
      <c r="D735" s="19"/>
      <c r="Q735" s="9"/>
    </row>
    <row r="736">
      <c r="D736" s="19"/>
      <c r="Q736" s="9"/>
    </row>
    <row r="737">
      <c r="D737" s="19"/>
      <c r="Q737" s="9"/>
    </row>
    <row r="738">
      <c r="D738" s="19"/>
      <c r="Q738" s="9"/>
    </row>
    <row r="739">
      <c r="D739" s="19"/>
      <c r="Q739" s="9"/>
    </row>
    <row r="740">
      <c r="D740" s="19"/>
      <c r="Q740" s="9"/>
    </row>
    <row r="741">
      <c r="D741" s="19"/>
      <c r="Q741" s="9"/>
    </row>
    <row r="742">
      <c r="D742" s="19"/>
      <c r="Q742" s="9"/>
    </row>
    <row r="743">
      <c r="D743" s="19"/>
      <c r="Q743" s="9"/>
    </row>
    <row r="744">
      <c r="D744" s="19"/>
      <c r="Q744" s="9"/>
    </row>
    <row r="745">
      <c r="D745" s="19"/>
      <c r="Q745" s="9"/>
    </row>
    <row r="746">
      <c r="D746" s="19"/>
      <c r="Q746" s="9"/>
    </row>
    <row r="747">
      <c r="D747" s="19"/>
      <c r="Q747" s="9"/>
    </row>
    <row r="748">
      <c r="D748" s="19"/>
      <c r="Q748" s="9"/>
    </row>
    <row r="749">
      <c r="D749" s="19"/>
      <c r="Q749" s="9"/>
    </row>
    <row r="750">
      <c r="D750" s="19"/>
      <c r="Q750" s="9"/>
    </row>
    <row r="751">
      <c r="D751" s="19"/>
      <c r="Q751" s="9"/>
    </row>
    <row r="752">
      <c r="D752" s="19"/>
      <c r="Q752" s="9"/>
    </row>
    <row r="753">
      <c r="D753" s="19"/>
      <c r="Q753" s="9"/>
    </row>
    <row r="754">
      <c r="D754" s="19"/>
      <c r="Q754" s="9"/>
    </row>
    <row r="755">
      <c r="D755" s="19"/>
      <c r="Q755" s="9"/>
    </row>
    <row r="756">
      <c r="D756" s="19"/>
      <c r="Q756" s="9"/>
    </row>
    <row r="757">
      <c r="D757" s="19"/>
      <c r="Q757" s="9"/>
    </row>
    <row r="758">
      <c r="D758" s="19"/>
      <c r="Q758" s="9"/>
    </row>
    <row r="759">
      <c r="D759" s="19"/>
      <c r="Q759" s="9"/>
    </row>
    <row r="760">
      <c r="D760" s="19"/>
      <c r="Q760" s="9"/>
    </row>
    <row r="761">
      <c r="D761" s="19"/>
      <c r="Q761" s="9"/>
    </row>
    <row r="762">
      <c r="D762" s="19"/>
      <c r="Q762" s="9"/>
    </row>
    <row r="763">
      <c r="D763" s="19"/>
      <c r="Q763" s="9"/>
    </row>
    <row r="764">
      <c r="D764" s="19"/>
      <c r="Q764" s="9"/>
    </row>
    <row r="765">
      <c r="D765" s="19"/>
      <c r="Q765" s="9"/>
    </row>
    <row r="766">
      <c r="D766" s="19"/>
      <c r="Q766" s="9"/>
    </row>
    <row r="767">
      <c r="D767" s="19"/>
      <c r="Q767" s="9"/>
    </row>
    <row r="768">
      <c r="D768" s="19"/>
      <c r="Q768" s="9"/>
    </row>
    <row r="769">
      <c r="D769" s="19"/>
      <c r="Q769" s="9"/>
    </row>
    <row r="770">
      <c r="D770" s="19"/>
      <c r="Q770" s="9"/>
    </row>
    <row r="771">
      <c r="D771" s="19"/>
      <c r="Q771" s="9"/>
    </row>
    <row r="772">
      <c r="D772" s="19"/>
      <c r="Q772" s="9"/>
    </row>
    <row r="773">
      <c r="D773" s="19"/>
      <c r="Q773" s="9"/>
    </row>
    <row r="774">
      <c r="D774" s="19"/>
      <c r="Q774" s="9"/>
    </row>
    <row r="775">
      <c r="D775" s="19"/>
      <c r="Q775" s="9"/>
    </row>
    <row r="776">
      <c r="D776" s="19"/>
      <c r="Q776" s="9"/>
    </row>
    <row r="777">
      <c r="D777" s="19"/>
      <c r="Q777" s="9"/>
    </row>
    <row r="778">
      <c r="D778" s="19"/>
      <c r="Q778" s="9"/>
    </row>
    <row r="779">
      <c r="D779" s="19"/>
      <c r="Q779" s="9"/>
    </row>
    <row r="780">
      <c r="D780" s="19"/>
      <c r="Q780" s="9"/>
    </row>
    <row r="781">
      <c r="D781" s="19"/>
      <c r="Q781" s="9"/>
    </row>
    <row r="782">
      <c r="D782" s="19"/>
      <c r="Q782" s="9"/>
    </row>
    <row r="783">
      <c r="D783" s="19"/>
      <c r="Q783" s="9"/>
    </row>
    <row r="784">
      <c r="D784" s="19"/>
      <c r="Q784" s="9"/>
    </row>
    <row r="785">
      <c r="D785" s="19"/>
      <c r="Q785" s="9"/>
    </row>
    <row r="786">
      <c r="D786" s="19"/>
      <c r="Q786" s="9"/>
    </row>
    <row r="787">
      <c r="D787" s="19"/>
      <c r="Q787" s="9"/>
    </row>
    <row r="788">
      <c r="D788" s="19"/>
      <c r="Q788" s="9"/>
    </row>
    <row r="789">
      <c r="D789" s="19"/>
      <c r="Q789" s="9"/>
    </row>
    <row r="790">
      <c r="D790" s="19"/>
      <c r="Q790" s="9"/>
    </row>
    <row r="791">
      <c r="D791" s="19"/>
      <c r="Q791" s="9"/>
    </row>
    <row r="792">
      <c r="D792" s="19"/>
      <c r="Q792" s="9"/>
    </row>
    <row r="793">
      <c r="D793" s="19"/>
      <c r="Q793" s="9"/>
    </row>
    <row r="794">
      <c r="D794" s="19"/>
      <c r="Q794" s="9"/>
    </row>
    <row r="795">
      <c r="D795" s="19"/>
      <c r="Q795" s="9"/>
    </row>
    <row r="796">
      <c r="D796" s="19"/>
      <c r="Q796" s="9"/>
    </row>
    <row r="797">
      <c r="D797" s="19"/>
      <c r="Q797" s="9"/>
    </row>
    <row r="798">
      <c r="D798" s="19"/>
      <c r="Q798" s="9"/>
    </row>
    <row r="799">
      <c r="D799" s="19"/>
      <c r="Q799" s="9"/>
    </row>
    <row r="800">
      <c r="D800" s="19"/>
      <c r="Q800" s="9"/>
    </row>
    <row r="801">
      <c r="D801" s="19"/>
      <c r="Q801" s="9"/>
    </row>
    <row r="802">
      <c r="D802" s="19"/>
      <c r="Q802" s="9"/>
    </row>
    <row r="803">
      <c r="D803" s="19"/>
      <c r="Q803" s="9"/>
    </row>
    <row r="804">
      <c r="D804" s="19"/>
      <c r="Q804" s="9"/>
    </row>
    <row r="805">
      <c r="D805" s="19"/>
      <c r="Q805" s="9"/>
    </row>
    <row r="806">
      <c r="D806" s="19"/>
      <c r="Q806" s="9"/>
    </row>
    <row r="807">
      <c r="D807" s="19"/>
      <c r="Q807" s="9"/>
    </row>
    <row r="808">
      <c r="D808" s="19"/>
      <c r="Q808" s="9"/>
    </row>
    <row r="809">
      <c r="D809" s="19"/>
      <c r="Q809" s="9"/>
    </row>
    <row r="810">
      <c r="D810" s="19"/>
      <c r="Q810" s="9"/>
    </row>
    <row r="811">
      <c r="D811" s="19"/>
      <c r="Q811" s="9"/>
    </row>
    <row r="812">
      <c r="D812" s="19"/>
      <c r="Q812" s="9"/>
    </row>
    <row r="813">
      <c r="D813" s="19"/>
      <c r="Q813" s="9"/>
    </row>
    <row r="814">
      <c r="D814" s="19"/>
      <c r="Q814" s="9"/>
    </row>
    <row r="815">
      <c r="D815" s="19"/>
      <c r="Q815" s="9"/>
    </row>
    <row r="816">
      <c r="D816" s="19"/>
      <c r="Q816" s="9"/>
    </row>
    <row r="817">
      <c r="D817" s="19"/>
      <c r="Q817" s="9"/>
    </row>
    <row r="818">
      <c r="D818" s="19"/>
      <c r="Q818" s="9"/>
    </row>
    <row r="819">
      <c r="D819" s="19"/>
      <c r="Q819" s="9"/>
    </row>
    <row r="820">
      <c r="D820" s="19"/>
      <c r="Q820" s="9"/>
    </row>
    <row r="821">
      <c r="D821" s="19"/>
      <c r="Q821" s="9"/>
    </row>
    <row r="822">
      <c r="D822" s="19"/>
      <c r="Q822" s="9"/>
    </row>
    <row r="823">
      <c r="D823" s="19"/>
      <c r="Q823" s="9"/>
    </row>
    <row r="824">
      <c r="D824" s="19"/>
      <c r="Q824" s="9"/>
    </row>
    <row r="825">
      <c r="D825" s="19"/>
      <c r="Q825" s="9"/>
    </row>
    <row r="826">
      <c r="D826" s="19"/>
      <c r="Q826" s="9"/>
    </row>
    <row r="827">
      <c r="D827" s="19"/>
      <c r="Q827" s="9"/>
    </row>
    <row r="828">
      <c r="D828" s="19"/>
      <c r="Q828" s="9"/>
    </row>
    <row r="829">
      <c r="D829" s="19"/>
      <c r="Q829" s="9"/>
    </row>
    <row r="830">
      <c r="D830" s="19"/>
      <c r="Q830" s="9"/>
    </row>
    <row r="831">
      <c r="D831" s="19"/>
      <c r="Q831" s="9"/>
    </row>
    <row r="832">
      <c r="D832" s="19"/>
      <c r="Q832" s="9"/>
    </row>
    <row r="833">
      <c r="D833" s="19"/>
      <c r="Q833" s="9"/>
    </row>
    <row r="834">
      <c r="D834" s="19"/>
      <c r="Q834" s="9"/>
    </row>
    <row r="835">
      <c r="D835" s="19"/>
      <c r="Q835" s="9"/>
    </row>
    <row r="836">
      <c r="D836" s="19"/>
      <c r="Q836" s="9"/>
    </row>
    <row r="837">
      <c r="D837" s="19"/>
      <c r="Q837" s="9"/>
    </row>
    <row r="838">
      <c r="D838" s="19"/>
      <c r="Q838" s="9"/>
    </row>
    <row r="839">
      <c r="D839" s="19"/>
      <c r="Q839" s="9"/>
    </row>
    <row r="840">
      <c r="D840" s="19"/>
      <c r="Q840" s="9"/>
    </row>
    <row r="841">
      <c r="D841" s="19"/>
      <c r="Q841" s="9"/>
    </row>
    <row r="842">
      <c r="D842" s="19"/>
      <c r="Q842" s="9"/>
    </row>
    <row r="843">
      <c r="D843" s="19"/>
      <c r="Q843" s="9"/>
    </row>
    <row r="844">
      <c r="D844" s="19"/>
      <c r="Q844" s="9"/>
    </row>
    <row r="845">
      <c r="D845" s="19"/>
      <c r="Q845" s="9"/>
    </row>
    <row r="846">
      <c r="D846" s="19"/>
      <c r="Q846" s="9"/>
    </row>
    <row r="847">
      <c r="D847" s="19"/>
      <c r="Q847" s="9"/>
    </row>
    <row r="848">
      <c r="D848" s="19"/>
      <c r="Q848" s="9"/>
    </row>
    <row r="849">
      <c r="D849" s="19"/>
      <c r="Q849" s="9"/>
    </row>
    <row r="850">
      <c r="D850" s="19"/>
      <c r="Q850" s="9"/>
    </row>
    <row r="851">
      <c r="D851" s="19"/>
      <c r="Q851" s="9"/>
    </row>
    <row r="852">
      <c r="D852" s="19"/>
      <c r="Q852" s="9"/>
    </row>
    <row r="853">
      <c r="D853" s="19"/>
      <c r="Q853" s="9"/>
    </row>
    <row r="854">
      <c r="D854" s="19"/>
      <c r="Q854" s="9"/>
    </row>
    <row r="855">
      <c r="D855" s="19"/>
      <c r="Q855" s="9"/>
    </row>
    <row r="856">
      <c r="D856" s="19"/>
      <c r="Q856" s="9"/>
    </row>
    <row r="857">
      <c r="D857" s="19"/>
      <c r="Q857" s="9"/>
    </row>
    <row r="858">
      <c r="D858" s="19"/>
      <c r="Q858" s="9"/>
    </row>
    <row r="859">
      <c r="D859" s="19"/>
      <c r="Q859" s="9"/>
    </row>
    <row r="860">
      <c r="D860" s="19"/>
      <c r="Q860" s="9"/>
    </row>
    <row r="861">
      <c r="D861" s="19"/>
      <c r="Q861" s="9"/>
    </row>
    <row r="862">
      <c r="D862" s="19"/>
      <c r="Q862" s="9"/>
    </row>
    <row r="863">
      <c r="D863" s="19"/>
      <c r="Q863" s="9"/>
    </row>
    <row r="864">
      <c r="D864" s="19"/>
      <c r="Q864" s="9"/>
    </row>
    <row r="865">
      <c r="D865" s="19"/>
      <c r="Q865" s="9"/>
    </row>
    <row r="866">
      <c r="D866" s="19"/>
      <c r="Q866" s="9"/>
    </row>
    <row r="867">
      <c r="D867" s="19"/>
      <c r="Q867" s="9"/>
    </row>
    <row r="868">
      <c r="D868" s="19"/>
      <c r="Q868" s="9"/>
    </row>
    <row r="869">
      <c r="D869" s="19"/>
      <c r="Q869" s="9"/>
    </row>
    <row r="870">
      <c r="D870" s="19"/>
      <c r="Q870" s="9"/>
    </row>
    <row r="871">
      <c r="D871" s="19"/>
      <c r="Q871" s="9"/>
    </row>
    <row r="872">
      <c r="D872" s="19"/>
      <c r="Q872" s="9"/>
    </row>
    <row r="873">
      <c r="D873" s="19"/>
      <c r="Q873" s="9"/>
    </row>
    <row r="874">
      <c r="D874" s="19"/>
      <c r="Q874" s="9"/>
    </row>
    <row r="875">
      <c r="D875" s="19"/>
      <c r="Q875" s="9"/>
    </row>
    <row r="876">
      <c r="D876" s="19"/>
      <c r="Q876" s="9"/>
    </row>
    <row r="877">
      <c r="D877" s="19"/>
      <c r="Q877" s="9"/>
    </row>
    <row r="878">
      <c r="D878" s="19"/>
      <c r="Q878" s="9"/>
    </row>
    <row r="879">
      <c r="D879" s="19"/>
      <c r="Q879" s="9"/>
    </row>
    <row r="880">
      <c r="D880" s="19"/>
      <c r="Q880" s="9"/>
    </row>
    <row r="881">
      <c r="D881" s="19"/>
      <c r="Q881" s="9"/>
    </row>
    <row r="882">
      <c r="D882" s="19"/>
      <c r="Q882" s="9"/>
    </row>
    <row r="883">
      <c r="D883" s="19"/>
      <c r="Q883" s="9"/>
    </row>
    <row r="884">
      <c r="D884" s="19"/>
      <c r="Q884" s="9"/>
    </row>
    <row r="885">
      <c r="D885" s="19"/>
      <c r="Q885" s="9"/>
    </row>
    <row r="886">
      <c r="D886" s="19"/>
      <c r="Q886" s="9"/>
    </row>
    <row r="887">
      <c r="D887" s="19"/>
      <c r="Q887" s="9"/>
    </row>
    <row r="888">
      <c r="D888" s="19"/>
      <c r="Q888" s="9"/>
    </row>
    <row r="889">
      <c r="D889" s="19"/>
      <c r="Q889" s="9"/>
    </row>
    <row r="890">
      <c r="D890" s="19"/>
      <c r="Q890" s="9"/>
    </row>
    <row r="891">
      <c r="D891" s="19"/>
      <c r="Q891" s="9"/>
    </row>
    <row r="892">
      <c r="D892" s="19"/>
      <c r="Q892" s="9"/>
    </row>
    <row r="893">
      <c r="D893" s="19"/>
      <c r="Q893" s="9"/>
    </row>
    <row r="894">
      <c r="D894" s="19"/>
      <c r="Q894" s="9"/>
    </row>
    <row r="895">
      <c r="D895" s="19"/>
      <c r="Q895" s="9"/>
    </row>
    <row r="896">
      <c r="D896" s="19"/>
      <c r="Q896" s="9"/>
    </row>
    <row r="897">
      <c r="D897" s="19"/>
      <c r="Q897" s="9"/>
    </row>
    <row r="898">
      <c r="D898" s="19"/>
      <c r="Q898" s="9"/>
    </row>
    <row r="899">
      <c r="D899" s="19"/>
      <c r="Q899" s="9"/>
    </row>
    <row r="900">
      <c r="D900" s="19"/>
      <c r="Q900" s="9"/>
    </row>
    <row r="901">
      <c r="D901" s="19"/>
      <c r="Q901" s="9"/>
    </row>
    <row r="902">
      <c r="D902" s="19"/>
      <c r="Q902" s="9"/>
    </row>
    <row r="903">
      <c r="D903" s="19"/>
      <c r="Q903" s="9"/>
    </row>
    <row r="904">
      <c r="D904" s="19"/>
      <c r="Q904" s="9"/>
    </row>
    <row r="905">
      <c r="D905" s="19"/>
      <c r="Q905" s="9"/>
    </row>
    <row r="906">
      <c r="D906" s="19"/>
      <c r="Q906" s="9"/>
    </row>
    <row r="907">
      <c r="D907" s="19"/>
      <c r="Q907" s="9"/>
    </row>
    <row r="908">
      <c r="D908" s="19"/>
      <c r="Q908" s="9"/>
    </row>
    <row r="909">
      <c r="D909" s="19"/>
      <c r="Q909" s="9"/>
    </row>
    <row r="910">
      <c r="D910" s="19"/>
      <c r="Q910" s="9"/>
    </row>
    <row r="911">
      <c r="D911" s="19"/>
      <c r="Q911" s="9"/>
    </row>
    <row r="912">
      <c r="D912" s="19"/>
      <c r="Q912" s="9"/>
    </row>
    <row r="913">
      <c r="D913" s="19"/>
      <c r="Q913" s="9"/>
    </row>
    <row r="914">
      <c r="D914" s="19"/>
      <c r="Q914" s="9"/>
    </row>
    <row r="915">
      <c r="D915" s="19"/>
      <c r="Q915" s="9"/>
    </row>
    <row r="916">
      <c r="D916" s="19"/>
      <c r="Q916" s="9"/>
    </row>
    <row r="917">
      <c r="D917" s="19"/>
      <c r="Q917" s="9"/>
    </row>
    <row r="918">
      <c r="D918" s="19"/>
      <c r="Q918" s="9"/>
    </row>
    <row r="919">
      <c r="D919" s="19"/>
      <c r="Q919" s="9"/>
    </row>
    <row r="920">
      <c r="D920" s="19"/>
      <c r="Q920" s="9"/>
    </row>
    <row r="921">
      <c r="D921" s="19"/>
      <c r="Q921" s="9"/>
    </row>
    <row r="922">
      <c r="D922" s="19"/>
      <c r="Q922" s="9"/>
    </row>
    <row r="923">
      <c r="D923" s="19"/>
      <c r="Q923" s="9"/>
    </row>
    <row r="924">
      <c r="D924" s="19"/>
      <c r="Q924" s="9"/>
    </row>
    <row r="925">
      <c r="D925" s="19"/>
      <c r="Q925" s="9"/>
    </row>
    <row r="926">
      <c r="D926" s="19"/>
      <c r="Q926" s="9"/>
    </row>
    <row r="927">
      <c r="D927" s="19"/>
      <c r="Q927" s="9"/>
    </row>
    <row r="928">
      <c r="D928" s="19"/>
      <c r="Q928" s="9"/>
    </row>
    <row r="929">
      <c r="D929" s="19"/>
      <c r="Q929" s="9"/>
    </row>
    <row r="930">
      <c r="D930" s="19"/>
      <c r="Q930" s="9"/>
    </row>
    <row r="931">
      <c r="D931" s="19"/>
      <c r="Q931" s="9"/>
    </row>
    <row r="932">
      <c r="D932" s="19"/>
      <c r="Q932" s="9"/>
    </row>
    <row r="933">
      <c r="D933" s="19"/>
      <c r="Q933" s="9"/>
    </row>
    <row r="934">
      <c r="D934" s="19"/>
      <c r="Q934" s="9"/>
    </row>
    <row r="935">
      <c r="D935" s="19"/>
      <c r="Q935" s="9"/>
    </row>
    <row r="936">
      <c r="D936" s="19"/>
      <c r="Q936" s="9"/>
    </row>
    <row r="937">
      <c r="D937" s="19"/>
      <c r="Q937" s="9"/>
    </row>
    <row r="938">
      <c r="D938" s="19"/>
      <c r="Q938" s="9"/>
    </row>
    <row r="939">
      <c r="D939" s="19"/>
      <c r="Q939" s="9"/>
    </row>
    <row r="940">
      <c r="D940" s="19"/>
      <c r="Q940" s="9"/>
    </row>
    <row r="941">
      <c r="D941" s="19"/>
      <c r="Q941" s="9"/>
    </row>
    <row r="942">
      <c r="D942" s="19"/>
      <c r="Q942" s="9"/>
    </row>
    <row r="943">
      <c r="D943" s="19"/>
      <c r="Q943" s="9"/>
    </row>
    <row r="944">
      <c r="D944" s="19"/>
      <c r="Q944" s="9"/>
    </row>
    <row r="945">
      <c r="D945" s="19"/>
      <c r="Q945" s="9"/>
    </row>
    <row r="946">
      <c r="D946" s="19"/>
      <c r="Q946" s="9"/>
    </row>
    <row r="947">
      <c r="D947" s="19"/>
      <c r="Q947" s="9"/>
    </row>
    <row r="948">
      <c r="D948" s="19"/>
      <c r="Q948" s="9"/>
    </row>
    <row r="949">
      <c r="D949" s="19"/>
      <c r="Q949" s="9"/>
    </row>
    <row r="950">
      <c r="D950" s="19"/>
      <c r="Q950" s="9"/>
    </row>
    <row r="951">
      <c r="D951" s="19"/>
      <c r="Q951" s="9"/>
    </row>
    <row r="952">
      <c r="D952" s="19"/>
      <c r="Q952" s="9"/>
    </row>
    <row r="953">
      <c r="D953" s="19"/>
      <c r="Q953" s="9"/>
    </row>
    <row r="954">
      <c r="D954" s="19"/>
      <c r="Q954" s="9"/>
    </row>
    <row r="955">
      <c r="D955" s="19"/>
      <c r="Q955" s="9"/>
    </row>
    <row r="956">
      <c r="D956" s="19"/>
      <c r="Q956" s="9"/>
    </row>
    <row r="957">
      <c r="D957" s="19"/>
      <c r="Q957" s="9"/>
    </row>
    <row r="958">
      <c r="D958" s="19"/>
      <c r="Q958" s="9"/>
    </row>
    <row r="959">
      <c r="D959" s="19"/>
      <c r="Q959" s="9"/>
    </row>
    <row r="960">
      <c r="D960" s="19"/>
      <c r="Q960" s="9"/>
    </row>
    <row r="961">
      <c r="D961" s="19"/>
      <c r="Q961" s="9"/>
    </row>
    <row r="962">
      <c r="D962" s="19"/>
      <c r="Q962" s="9"/>
    </row>
    <row r="963">
      <c r="D963" s="19"/>
      <c r="Q963" s="9"/>
    </row>
    <row r="964">
      <c r="D964" s="19"/>
      <c r="Q964" s="9"/>
    </row>
    <row r="965">
      <c r="D965" s="19"/>
      <c r="Q965" s="9"/>
    </row>
    <row r="966">
      <c r="D966" s="19"/>
      <c r="Q966" s="9"/>
    </row>
    <row r="967">
      <c r="D967" s="19"/>
      <c r="Q967" s="9"/>
    </row>
    <row r="968">
      <c r="D968" s="19"/>
      <c r="Q968" s="9"/>
    </row>
    <row r="969">
      <c r="D969" s="19"/>
      <c r="Q969" s="9"/>
    </row>
    <row r="970">
      <c r="D970" s="19"/>
      <c r="Q970" s="9"/>
    </row>
    <row r="971">
      <c r="D971" s="19"/>
      <c r="Q971" s="9"/>
    </row>
    <row r="972">
      <c r="D972" s="19"/>
      <c r="Q972" s="9"/>
    </row>
    <row r="973">
      <c r="D973" s="19"/>
      <c r="Q973" s="9"/>
    </row>
    <row r="974">
      <c r="D974" s="19"/>
      <c r="Q974" s="9"/>
    </row>
    <row r="975">
      <c r="D975" s="19"/>
      <c r="Q975" s="9"/>
    </row>
    <row r="976">
      <c r="D976" s="19"/>
      <c r="Q976" s="9"/>
    </row>
    <row r="977">
      <c r="D977" s="19"/>
      <c r="Q977" s="9"/>
    </row>
    <row r="978">
      <c r="D978" s="19"/>
      <c r="Q978" s="9"/>
    </row>
    <row r="979">
      <c r="D979" s="19"/>
      <c r="Q979" s="9"/>
    </row>
    <row r="980">
      <c r="D980" s="19"/>
      <c r="Q980" s="9"/>
    </row>
    <row r="981">
      <c r="D981" s="19"/>
      <c r="Q981" s="9"/>
    </row>
    <row r="982">
      <c r="D982" s="19"/>
      <c r="Q982" s="9"/>
    </row>
    <row r="983">
      <c r="D983" s="19"/>
      <c r="Q983" s="9"/>
    </row>
    <row r="984">
      <c r="D984" s="19"/>
      <c r="Q984" s="9"/>
    </row>
    <row r="985">
      <c r="D985" s="19"/>
      <c r="Q985" s="9"/>
    </row>
    <row r="986">
      <c r="D986" s="19"/>
      <c r="Q986" s="9"/>
    </row>
    <row r="987">
      <c r="D987" s="19"/>
      <c r="Q987" s="9"/>
    </row>
    <row r="988">
      <c r="D988" s="19"/>
      <c r="Q988" s="9"/>
    </row>
    <row r="989">
      <c r="D989" s="19"/>
      <c r="Q989" s="9"/>
    </row>
    <row r="990">
      <c r="D990" s="19"/>
      <c r="Q990" s="9"/>
    </row>
    <row r="991">
      <c r="D991" s="19"/>
      <c r="Q991" s="9"/>
    </row>
    <row r="992">
      <c r="D992" s="19"/>
      <c r="Q992" s="9"/>
    </row>
    <row r="993">
      <c r="D993" s="19"/>
      <c r="Q993" s="9"/>
    </row>
    <row r="994">
      <c r="D994" s="19"/>
      <c r="Q994" s="9"/>
    </row>
    <row r="995">
      <c r="D995" s="19"/>
      <c r="Q995" s="9"/>
    </row>
    <row r="996">
      <c r="D996" s="19"/>
      <c r="Q996" s="9"/>
    </row>
    <row r="997">
      <c r="D997" s="19"/>
      <c r="Q997" s="9"/>
    </row>
    <row r="998">
      <c r="D998" s="19"/>
      <c r="Q998" s="9"/>
    </row>
    <row r="999">
      <c r="D999" s="19"/>
      <c r="Q999" s="9"/>
    </row>
  </sheetData>
  <autoFilter ref="$A$1:$Q$399"/>
  <dataValidations>
    <dataValidation type="list" allowBlank="1" showErrorMessage="1" sqref="D2:D999">
      <formula1>"Via Aroma,Dicorpo,Perfume"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8" max="8" width="19.38"/>
    <col customWidth="1" min="9" max="9" width="16.5"/>
    <col customWidth="1" min="10" max="10" width="15.63"/>
  </cols>
  <sheetData>
    <row r="1">
      <c r="A1" s="27" t="s">
        <v>174</v>
      </c>
      <c r="B1" s="10">
        <f>SUM(Vendas!G:G)</f>
        <v>2478.86</v>
      </c>
      <c r="C1" s="9"/>
      <c r="D1" s="9"/>
      <c r="E1" s="28" t="s">
        <v>175</v>
      </c>
      <c r="F1" s="29"/>
      <c r="G1" s="9"/>
      <c r="H1" s="29" t="s">
        <v>176</v>
      </c>
      <c r="I1" s="29" t="s">
        <v>177</v>
      </c>
      <c r="J1" s="29" t="s">
        <v>178</v>
      </c>
      <c r="K1" s="30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1" t="s">
        <v>179</v>
      </c>
      <c r="B2" s="10">
        <f>SUM(Vendas!I:I)</f>
        <v>279.11</v>
      </c>
      <c r="C2" s="9"/>
      <c r="D2" s="9"/>
      <c r="E2" s="32" t="s">
        <v>180</v>
      </c>
      <c r="F2" s="33"/>
      <c r="G2" s="9"/>
      <c r="H2" s="9">
        <f>SUMIF(B:B,"Entrada",E:E)</f>
        <v>0</v>
      </c>
      <c r="I2" s="9">
        <f>SUMIF(B:B,"Saída",E:E)</f>
        <v>0</v>
      </c>
      <c r="J2" s="9">
        <f>SUMIF(B:B,"Entrada",E:E)-SUMIF(B:B,"Saída",E:E)</f>
        <v>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9" t="s">
        <v>181</v>
      </c>
      <c r="B3" s="9">
        <f>COUNTA(Vendas!A:A)-1</f>
        <v>1</v>
      </c>
      <c r="C3" s="9"/>
      <c r="D3" s="9"/>
      <c r="E3" s="32" t="s">
        <v>16</v>
      </c>
      <c r="F3" s="3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9" t="s">
        <v>50</v>
      </c>
      <c r="B4" s="10">
        <f>IF(B3=0,"",B1/B3)</f>
        <v>2478.86</v>
      </c>
      <c r="C4" s="9"/>
      <c r="D4" s="9"/>
      <c r="E4" s="32" t="s">
        <v>182</v>
      </c>
      <c r="F4" s="3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4"/>
      <c r="B5" s="9"/>
      <c r="C5" s="9"/>
      <c r="D5" s="9"/>
      <c r="E5" s="32" t="s">
        <v>183</v>
      </c>
      <c r="F5" s="3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9" t="s">
        <v>10</v>
      </c>
      <c r="B6" s="29" t="s">
        <v>184</v>
      </c>
      <c r="C6" s="9"/>
      <c r="D6" s="9"/>
      <c r="E6" s="32" t="s">
        <v>185</v>
      </c>
      <c r="F6" s="33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5" t="s">
        <v>186</v>
      </c>
      <c r="B7" s="9">
        <f>SUMIF(Vendas!K:K,"Pago",Vendas!G:G)</f>
        <v>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6" t="s">
        <v>187</v>
      </c>
      <c r="B8" s="9">
        <f>SUMIF(Vendas!K:K,"Pendente",Vendas!G:G)</f>
        <v>2478.86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9"/>
      <c r="B9" s="2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7" t="s">
        <v>188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tr">
        <f t="array" ref="A11">INDEX(Vendas!C2:C1001,MATCH(MAX(COUNTIF(Vendas!C2:C1001,Vendas!C2:C1001)),COUNTIF(Vendas!C2:C1001,Vendas!C2:C1001),0))</f>
        <v>02167 - Legging Preto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 t="s">
        <v>189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>
        <f>IFERROR(SUMPRODUCT((MONTH(Vendas!A2:A1001)=MONTH(TODAY()))*(YEAR(Vendas!A2:A1001)=YEAR(TODAY()))*(Vendas!G2:G1001)),0)</f>
        <v>125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3" max="3" width="15.13"/>
    <col customWidth="1" min="4" max="4" width="18.13"/>
  </cols>
  <sheetData>
    <row r="1">
      <c r="A1" s="38" t="s">
        <v>0</v>
      </c>
      <c r="B1" s="38" t="s">
        <v>2</v>
      </c>
      <c r="C1" s="38" t="s">
        <v>3</v>
      </c>
      <c r="D1" s="38" t="s">
        <v>4</v>
      </c>
      <c r="E1" s="38" t="s">
        <v>190</v>
      </c>
      <c r="F1" s="38" t="s">
        <v>6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29" t="s">
        <v>191</v>
      </c>
      <c r="AA1" s="34"/>
    </row>
    <row r="2">
      <c r="B2" s="20" t="s">
        <v>41</v>
      </c>
      <c r="C2" s="20" t="s">
        <v>27</v>
      </c>
      <c r="D2" s="20">
        <v>1.0</v>
      </c>
      <c r="E2" s="19">
        <f t="array" ref="E2">IF(B2="","",IFERROR(INDEX(Produtos!E:E,MATCH(B2&amp;C2,Produtos!B:B&amp;Produtos!C:C,0)),""))</f>
        <v>43.46</v>
      </c>
      <c r="F2" s="19">
        <f t="shared" ref="F2:F400" si="1">IF(D2="","",D2*E2)</f>
        <v>43.46</v>
      </c>
      <c r="Z2" s="19" t="str">
        <f>IFERROR(__xludf.DUMMYFUNCTION("FILTER(Config!E:E,TRIM(Config!D:D)=TRIM(B2))"),"#N/A")</f>
        <v>#N/A</v>
      </c>
    </row>
    <row r="3">
      <c r="B3" s="20" t="s">
        <v>29</v>
      </c>
      <c r="C3" s="20" t="s">
        <v>19</v>
      </c>
      <c r="D3" s="20">
        <v>1.0</v>
      </c>
      <c r="E3" s="19">
        <f t="array" ref="E3">IF(B3="","",IFERROR(INDEX(Produtos!E:E,MATCH(B3&amp;C3,Produtos!B:B&amp;Produtos!C:C,0)),""))</f>
        <v>86.93</v>
      </c>
      <c r="F3" s="19">
        <f t="shared" si="1"/>
        <v>86.93</v>
      </c>
    </row>
    <row r="4">
      <c r="B4" s="20" t="s">
        <v>14</v>
      </c>
      <c r="C4" s="20" t="s">
        <v>21</v>
      </c>
      <c r="D4" s="20">
        <v>2.0</v>
      </c>
      <c r="E4" s="19">
        <f t="array" ref="E4">IF(B4="","",IFERROR(INDEX(Produtos!E:E,MATCH(B4&amp;C4,Produtos!B:B&amp;Produtos!C:C,0)),""))</f>
        <v>109.62</v>
      </c>
      <c r="F4" s="19">
        <f t="shared" si="1"/>
        <v>219.24</v>
      </c>
    </row>
    <row r="5">
      <c r="B5" s="20" t="s">
        <v>14</v>
      </c>
      <c r="C5" s="20" t="s">
        <v>19</v>
      </c>
      <c r="D5" s="20">
        <v>2.0</v>
      </c>
      <c r="E5" s="19">
        <f t="array" ref="E5">IF(B5="","",IFERROR(INDEX(Produtos!E:E,MATCH(B5&amp;C5,Produtos!B:B&amp;Produtos!C:C,0)),""))</f>
        <v>109.62</v>
      </c>
      <c r="F5" s="19">
        <f t="shared" si="1"/>
        <v>219.24</v>
      </c>
    </row>
    <row r="6">
      <c r="B6" s="20" t="s">
        <v>14</v>
      </c>
      <c r="C6" s="20" t="s">
        <v>15</v>
      </c>
      <c r="D6" s="20">
        <v>1.0</v>
      </c>
      <c r="E6" s="19">
        <f t="array" ref="E6">IF(B6="","",IFERROR(INDEX(Produtos!E:E,MATCH(B6&amp;C6,Produtos!B:B&amp;Produtos!C:C,0)),""))</f>
        <v>109.62</v>
      </c>
      <c r="F6" s="19">
        <f t="shared" si="1"/>
        <v>109.62</v>
      </c>
    </row>
    <row r="7">
      <c r="B7" s="20" t="s">
        <v>17</v>
      </c>
      <c r="C7" s="20" t="s">
        <v>21</v>
      </c>
      <c r="D7" s="20">
        <v>1.0</v>
      </c>
      <c r="E7" s="19">
        <f t="array" ref="E7">IF(B7="","",IFERROR(INDEX(Produtos!E:E,MATCH(B7&amp;C7,Produtos!B:B&amp;Produtos!C:C,0)),""))</f>
        <v>109.62</v>
      </c>
      <c r="F7" s="19">
        <f t="shared" si="1"/>
        <v>109.62</v>
      </c>
    </row>
    <row r="8">
      <c r="B8" s="20" t="s">
        <v>17</v>
      </c>
      <c r="C8" s="20" t="s">
        <v>15</v>
      </c>
      <c r="D8" s="20">
        <v>1.0</v>
      </c>
      <c r="E8" s="19">
        <f t="array" ref="E8">IF(B8="","",IFERROR(INDEX(Produtos!E:E,MATCH(B8&amp;C8,Produtos!B:B&amp;Produtos!C:C,0)),""))</f>
        <v>109.62</v>
      </c>
      <c r="F8" s="19">
        <f t="shared" si="1"/>
        <v>109.62</v>
      </c>
    </row>
    <row r="9">
      <c r="B9" s="20" t="s">
        <v>83</v>
      </c>
      <c r="C9" s="20" t="s">
        <v>21</v>
      </c>
      <c r="D9" s="20">
        <v>1.0</v>
      </c>
      <c r="E9" s="19">
        <f t="array" ref="E9">IF(B9="","",IFERROR(INDEX(Produtos!E:E,MATCH(B9&amp;C9,Produtos!B:B&amp;Produtos!C:C,0)),""))</f>
        <v>93.23</v>
      </c>
      <c r="F9" s="19">
        <f t="shared" si="1"/>
        <v>93.23</v>
      </c>
    </row>
    <row r="10">
      <c r="B10" s="20" t="s">
        <v>30</v>
      </c>
      <c r="C10" s="20" t="s">
        <v>15</v>
      </c>
      <c r="D10" s="20">
        <v>1.0</v>
      </c>
      <c r="E10" s="19">
        <f t="array" ref="E10">IF(B10="","",IFERROR(INDEX(Produtos!E:E,MATCH(B10&amp;C10,Produtos!B:B&amp;Produtos!C:C,0)),""))</f>
        <v>95.76</v>
      </c>
      <c r="F10" s="19">
        <f t="shared" si="1"/>
        <v>95.76</v>
      </c>
    </row>
    <row r="11">
      <c r="B11" s="20" t="s">
        <v>39</v>
      </c>
      <c r="C11" s="20" t="s">
        <v>19</v>
      </c>
      <c r="D11" s="20">
        <v>1.0</v>
      </c>
      <c r="E11" s="19">
        <f t="array" ref="E11">IF(B11="","",IFERROR(INDEX(Produtos!E:E,MATCH(B11&amp;C11,Produtos!B:B&amp;Produtos!C:C,0)),""))</f>
        <v>87.56</v>
      </c>
      <c r="F11" s="19">
        <f t="shared" si="1"/>
        <v>87.56</v>
      </c>
    </row>
    <row r="12">
      <c r="B12" s="20" t="s">
        <v>37</v>
      </c>
      <c r="C12" s="20" t="s">
        <v>21</v>
      </c>
      <c r="D12" s="20">
        <v>1.0</v>
      </c>
      <c r="E12" s="19">
        <f t="array" ref="E12">IF(B12="","",IFERROR(INDEX(Produtos!E:E,MATCH(B12&amp;C12,Produtos!B:B&amp;Produtos!C:C,0)),""))</f>
        <v>156.87</v>
      </c>
      <c r="F12" s="19">
        <f t="shared" si="1"/>
        <v>156.87</v>
      </c>
    </row>
    <row r="13">
      <c r="B13" s="20" t="s">
        <v>31</v>
      </c>
      <c r="C13" s="20" t="s">
        <v>15</v>
      </c>
      <c r="D13" s="20">
        <v>1.0</v>
      </c>
      <c r="E13" s="19">
        <f t="array" ref="E13">IF(B13="","",IFERROR(INDEX(Produtos!E:E,MATCH(B13&amp;C13,Produtos!B:B&amp;Produtos!C:C,0)),""))</f>
        <v>156.87</v>
      </c>
      <c r="F13" s="19">
        <f t="shared" si="1"/>
        <v>156.87</v>
      </c>
    </row>
    <row r="14">
      <c r="B14" s="20" t="s">
        <v>31</v>
      </c>
      <c r="C14" s="20" t="s">
        <v>19</v>
      </c>
      <c r="D14" s="20">
        <v>1.0</v>
      </c>
      <c r="E14" s="19">
        <f t="array" ref="E14">IF(B14="","",IFERROR(INDEX(Produtos!E:E,MATCH(B14&amp;C14,Produtos!B:B&amp;Produtos!C:C,0)),""))</f>
        <v>156.87</v>
      </c>
      <c r="F14" s="19">
        <f t="shared" si="1"/>
        <v>156.87</v>
      </c>
    </row>
    <row r="15">
      <c r="B15" s="20" t="s">
        <v>26</v>
      </c>
      <c r="C15" s="20" t="s">
        <v>27</v>
      </c>
      <c r="D15" s="20">
        <v>1.0</v>
      </c>
      <c r="E15" s="19">
        <f t="array" ref="E15">IF(B15="","",IFERROR(INDEX(Produtos!E:E,MATCH(B15&amp;C15,Produtos!B:B&amp;Produtos!C:C,0)),""))</f>
        <v>112.77</v>
      </c>
      <c r="F15" s="19">
        <f t="shared" si="1"/>
        <v>112.77</v>
      </c>
    </row>
    <row r="16">
      <c r="B16" s="20" t="s">
        <v>35</v>
      </c>
      <c r="C16" s="20" t="s">
        <v>21</v>
      </c>
      <c r="D16" s="20">
        <v>1.0</v>
      </c>
      <c r="E16" s="19">
        <f t="array" ref="E16">IF(B16="","",IFERROR(INDEX(Produtos!E:E,MATCH(B16&amp;C16,Produtos!B:B&amp;Produtos!C:C,0)),""))</f>
        <v>111.51</v>
      </c>
      <c r="F16" s="19">
        <f t="shared" si="1"/>
        <v>111.51</v>
      </c>
    </row>
    <row r="17">
      <c r="B17" s="20" t="s">
        <v>33</v>
      </c>
      <c r="C17" s="20" t="s">
        <v>19</v>
      </c>
      <c r="D17" s="20">
        <v>1.0</v>
      </c>
      <c r="E17" s="19">
        <f t="array" ref="E17">IF(B17="","",IFERROR(INDEX(Produtos!E:E,MATCH(B17&amp;C17,Produtos!B:B&amp;Produtos!C:C,0)),""))</f>
        <v>71.81</v>
      </c>
      <c r="F17" s="19">
        <f t="shared" si="1"/>
        <v>71.81</v>
      </c>
    </row>
    <row r="18">
      <c r="B18" s="20" t="s">
        <v>23</v>
      </c>
      <c r="C18" s="20" t="s">
        <v>24</v>
      </c>
      <c r="D18" s="20">
        <v>1.0</v>
      </c>
      <c r="E18" s="19">
        <f t="array" ref="E18">IF(B18="","",IFERROR(INDEX(Produtos!E:E,MATCH(B18&amp;C18,Produtos!B:B&amp;Produtos!C:C,0)),""))</f>
        <v>322</v>
      </c>
      <c r="F18" s="19">
        <f t="shared" si="1"/>
        <v>322</v>
      </c>
    </row>
    <row r="19">
      <c r="B19" s="20" t="s">
        <v>84</v>
      </c>
      <c r="C19" s="19"/>
      <c r="D19" s="20">
        <v>1.0</v>
      </c>
      <c r="E19" s="19">
        <f t="array" ref="E19">IF(B19="","",IFERROR(INDEX(Produtos!E:E,MATCH(B19&amp;C19,Produtos!B:B&amp;Produtos!C:C,0)),""))</f>
        <v>12.5</v>
      </c>
      <c r="F19" s="19">
        <f t="shared" si="1"/>
        <v>12.5</v>
      </c>
    </row>
    <row r="20">
      <c r="B20" s="20" t="s">
        <v>86</v>
      </c>
      <c r="C20" s="19"/>
      <c r="D20" s="20">
        <v>1.0</v>
      </c>
      <c r="E20" s="19">
        <f t="array" ref="E20">IF(B20="","",IFERROR(INDEX(Produtos!E:E,MATCH(B20&amp;C20,Produtos!B:B&amp;Produtos!C:C,0)),""))</f>
        <v>12.5</v>
      </c>
      <c r="F20" s="19">
        <f t="shared" si="1"/>
        <v>12.5</v>
      </c>
    </row>
    <row r="21">
      <c r="B21" s="20" t="s">
        <v>87</v>
      </c>
      <c r="C21" s="19"/>
      <c r="D21" s="20">
        <v>1.0</v>
      </c>
      <c r="E21" s="19">
        <f t="array" ref="E21">IF(B21="","",IFERROR(INDEX(Produtos!E:E,MATCH(B21&amp;C21,Produtos!B:B&amp;Produtos!C:C,0)),""))</f>
        <v>19.5</v>
      </c>
      <c r="F21" s="19">
        <f t="shared" si="1"/>
        <v>19.5</v>
      </c>
    </row>
    <row r="22">
      <c r="B22" s="20" t="s">
        <v>88</v>
      </c>
      <c r="C22" s="19"/>
      <c r="D22" s="20">
        <v>1.0</v>
      </c>
      <c r="E22" s="19">
        <f t="array" ref="E22">IF(B22="","",IFERROR(INDEX(Produtos!E:E,MATCH(B22&amp;C22,Produtos!B:B&amp;Produtos!C:C,0)),""))</f>
        <v>19.5</v>
      </c>
      <c r="F22" s="19">
        <f t="shared" si="1"/>
        <v>19.5</v>
      </c>
    </row>
    <row r="23">
      <c r="B23" s="20" t="s">
        <v>89</v>
      </c>
      <c r="C23" s="19"/>
      <c r="D23" s="20">
        <v>1.0</v>
      </c>
      <c r="E23" s="19">
        <f t="array" ref="E23">IF(B23="","",IFERROR(INDEX(Produtos!E:E,MATCH(B23&amp;C23,Produtos!B:B&amp;Produtos!C:C,0)),""))</f>
        <v>19</v>
      </c>
      <c r="F23" s="19">
        <f t="shared" si="1"/>
        <v>19</v>
      </c>
    </row>
    <row r="24">
      <c r="B24" s="20" t="s">
        <v>90</v>
      </c>
      <c r="C24" s="19"/>
      <c r="D24" s="20">
        <v>1.0</v>
      </c>
      <c r="E24" s="19">
        <f t="array" ref="E24">IF(B24="","",IFERROR(INDEX(Produtos!E:E,MATCH(B24&amp;C24,Produtos!B:B&amp;Produtos!C:C,0)),""))</f>
        <v>15.4</v>
      </c>
      <c r="F24" s="19">
        <f t="shared" si="1"/>
        <v>15.4</v>
      </c>
    </row>
    <row r="25">
      <c r="B25" s="20" t="s">
        <v>91</v>
      </c>
      <c r="C25" s="19"/>
      <c r="D25" s="20">
        <v>1.0</v>
      </c>
      <c r="E25" s="19">
        <f t="array" ref="E25">IF(B25="","",IFERROR(INDEX(Produtos!E:E,MATCH(B25&amp;C25,Produtos!B:B&amp;Produtos!C:C,0)),""))</f>
        <v>19</v>
      </c>
      <c r="F25" s="19">
        <f t="shared" si="1"/>
        <v>19</v>
      </c>
    </row>
    <row r="26">
      <c r="B26" s="20" t="s">
        <v>92</v>
      </c>
      <c r="C26" s="19"/>
      <c r="D26" s="20">
        <v>1.0</v>
      </c>
      <c r="E26" s="19">
        <f t="array" ref="E26">IF(B26="","",IFERROR(INDEX(Produtos!E:E,MATCH(B26&amp;C26,Produtos!B:B&amp;Produtos!C:C,0)),""))</f>
        <v>22.9</v>
      </c>
      <c r="F26" s="19">
        <f t="shared" si="1"/>
        <v>22.9</v>
      </c>
    </row>
    <row r="27">
      <c r="B27" s="20" t="s">
        <v>93</v>
      </c>
      <c r="C27" s="19"/>
      <c r="D27" s="20">
        <v>1.0</v>
      </c>
      <c r="E27" s="19">
        <f t="array" ref="E27">IF(B27="","",IFERROR(INDEX(Produtos!E:E,MATCH(B27&amp;C27,Produtos!B:B&amp;Produtos!C:C,0)),""))</f>
        <v>35</v>
      </c>
      <c r="F27" s="19">
        <f t="shared" si="1"/>
        <v>35</v>
      </c>
    </row>
    <row r="28">
      <c r="B28" s="20" t="s">
        <v>94</v>
      </c>
      <c r="C28" s="19"/>
      <c r="D28" s="20">
        <v>1.0</v>
      </c>
      <c r="E28" s="19">
        <f t="array" ref="E28">IF(B28="","",IFERROR(INDEX(Produtos!E:E,MATCH(B28&amp;C28,Produtos!B:B&amp;Produtos!C:C,0)),""))</f>
        <v>31.5</v>
      </c>
      <c r="F28" s="19">
        <f t="shared" si="1"/>
        <v>31.5</v>
      </c>
    </row>
    <row r="29">
      <c r="B29" s="20" t="s">
        <v>95</v>
      </c>
      <c r="C29" s="19"/>
      <c r="D29" s="20">
        <v>1.0</v>
      </c>
      <c r="E29" s="19">
        <f t="array" ref="E29">IF(B29="","",IFERROR(INDEX(Produtos!E:E,MATCH(B29&amp;C29,Produtos!B:B&amp;Produtos!C:C,0)),""))</f>
        <v>14.5</v>
      </c>
      <c r="F29" s="19">
        <f t="shared" si="1"/>
        <v>14.5</v>
      </c>
    </row>
    <row r="30">
      <c r="B30" s="20" t="s">
        <v>96</v>
      </c>
      <c r="C30" s="19"/>
      <c r="D30" s="20">
        <v>1.0</v>
      </c>
      <c r="E30" s="19">
        <f t="array" ref="E30">IF(B30="","",IFERROR(INDEX(Produtos!E:E,MATCH(B30&amp;C30,Produtos!B:B&amp;Produtos!C:C,0)),""))</f>
        <v>14.5</v>
      </c>
      <c r="F30" s="19">
        <f t="shared" si="1"/>
        <v>14.5</v>
      </c>
    </row>
    <row r="31">
      <c r="B31" s="20" t="s">
        <v>97</v>
      </c>
      <c r="C31" s="19"/>
      <c r="D31" s="20">
        <v>1.0</v>
      </c>
      <c r="E31" s="19">
        <f t="array" ref="E31">IF(B31="","",IFERROR(INDEX(Produtos!E:E,MATCH(B31&amp;C31,Produtos!B:B&amp;Produtos!C:C,0)),""))</f>
        <v>14.5</v>
      </c>
      <c r="F31" s="19">
        <f t="shared" si="1"/>
        <v>14.5</v>
      </c>
    </row>
    <row r="32">
      <c r="B32" s="20" t="s">
        <v>98</v>
      </c>
      <c r="C32" s="19"/>
      <c r="D32" s="20">
        <v>1.0</v>
      </c>
      <c r="E32" s="19">
        <f t="array" ref="E32">IF(B32="","",IFERROR(INDEX(Produtos!E:E,MATCH(B32&amp;C32,Produtos!B:B&amp;Produtos!C:C,0)),""))</f>
        <v>7.2</v>
      </c>
      <c r="F32" s="19">
        <f t="shared" si="1"/>
        <v>7.2</v>
      </c>
    </row>
    <row r="33">
      <c r="B33" s="20" t="s">
        <v>99</v>
      </c>
      <c r="C33" s="19"/>
      <c r="D33" s="20">
        <v>1.0</v>
      </c>
      <c r="E33" s="19">
        <f t="array" ref="E33">IF(B33="","",IFERROR(INDEX(Produtos!E:E,MATCH(B33&amp;C33,Produtos!B:B&amp;Produtos!C:C,0)),""))</f>
        <v>7.2</v>
      </c>
      <c r="F33" s="19">
        <f t="shared" si="1"/>
        <v>7.2</v>
      </c>
    </row>
    <row r="34">
      <c r="B34" s="20" t="s">
        <v>100</v>
      </c>
      <c r="C34" s="19"/>
      <c r="D34" s="20">
        <v>1.0</v>
      </c>
      <c r="E34" s="19">
        <f t="array" ref="E34">IF(B34="","",IFERROR(INDEX(Produtos!E:E,MATCH(B34&amp;C34,Produtos!B:B&amp;Produtos!C:C,0)),""))</f>
        <v>7.2</v>
      </c>
      <c r="F34" s="19">
        <f t="shared" si="1"/>
        <v>7.2</v>
      </c>
    </row>
    <row r="35">
      <c r="B35" s="20" t="s">
        <v>101</v>
      </c>
      <c r="C35" s="19"/>
      <c r="D35" s="20">
        <v>1.0</v>
      </c>
      <c r="E35" s="19">
        <f t="array" ref="E35">IF(B35="","",IFERROR(INDEX(Produtos!E:E,MATCH(B35&amp;C35,Produtos!B:B&amp;Produtos!C:C,0)),""))</f>
        <v>7.2</v>
      </c>
      <c r="F35" s="19">
        <f t="shared" si="1"/>
        <v>7.2</v>
      </c>
    </row>
    <row r="36">
      <c r="B36" s="20" t="s">
        <v>102</v>
      </c>
      <c r="C36" s="19"/>
      <c r="D36" s="20">
        <v>1.0</v>
      </c>
      <c r="E36" s="19">
        <f t="array" ref="E36">IF(B36="","",IFERROR(INDEX(Produtos!E:E,MATCH(B36&amp;C36,Produtos!B:B&amp;Produtos!C:C,0)),""))</f>
        <v>7.2</v>
      </c>
      <c r="F36" s="19">
        <f t="shared" si="1"/>
        <v>7.2</v>
      </c>
    </row>
    <row r="37">
      <c r="B37" s="20" t="s">
        <v>103</v>
      </c>
      <c r="C37" s="19"/>
      <c r="D37" s="20">
        <v>1.0</v>
      </c>
      <c r="E37" s="19">
        <f t="array" ref="E37">IF(B37="","",IFERROR(INDEX(Produtos!E:E,MATCH(B37&amp;C37,Produtos!B:B&amp;Produtos!C:C,0)),""))</f>
        <v>28.9</v>
      </c>
      <c r="F37" s="19">
        <f t="shared" si="1"/>
        <v>28.9</v>
      </c>
    </row>
    <row r="38">
      <c r="B38" s="20" t="s">
        <v>104</v>
      </c>
      <c r="C38" s="19"/>
      <c r="D38" s="20">
        <v>1.0</v>
      </c>
      <c r="E38" s="19">
        <f t="array" ref="E38">IF(B38="","",IFERROR(INDEX(Produtos!E:E,MATCH(B38&amp;C38,Produtos!B:B&amp;Produtos!C:C,0)),""))</f>
        <v>28.9</v>
      </c>
      <c r="F38" s="19">
        <f t="shared" si="1"/>
        <v>28.9</v>
      </c>
    </row>
    <row r="39">
      <c r="B39" s="20" t="s">
        <v>105</v>
      </c>
      <c r="C39" s="19"/>
      <c r="D39" s="20">
        <v>1.0</v>
      </c>
      <c r="E39" s="19">
        <f t="array" ref="E39">IF(B39="","",IFERROR(INDEX(Produtos!E:E,MATCH(B39&amp;C39,Produtos!B:B&amp;Produtos!C:C,0)),""))</f>
        <v>17.5</v>
      </c>
      <c r="F39" s="19">
        <f t="shared" si="1"/>
        <v>17.5</v>
      </c>
    </row>
    <row r="40">
      <c r="B40" s="20" t="s">
        <v>106</v>
      </c>
      <c r="C40" s="19"/>
      <c r="D40" s="20">
        <v>1.0</v>
      </c>
      <c r="E40" s="19">
        <f t="array" ref="E40">IF(B40="","",IFERROR(INDEX(Produtos!E:E,MATCH(B40&amp;C40,Produtos!B:B&amp;Produtos!C:C,0)),""))</f>
        <v>8.25</v>
      </c>
      <c r="F40" s="19">
        <f t="shared" si="1"/>
        <v>8.25</v>
      </c>
    </row>
    <row r="41">
      <c r="B41" s="20" t="s">
        <v>107</v>
      </c>
      <c r="C41" s="19"/>
      <c r="D41" s="20">
        <v>1.0</v>
      </c>
      <c r="E41" s="19">
        <f t="array" ref="E41">IF(B41="","",IFERROR(INDEX(Produtos!E:E,MATCH(B41&amp;C41,Produtos!B:B&amp;Produtos!C:C,0)),""))</f>
        <v>8.25</v>
      </c>
      <c r="F41" s="19">
        <f t="shared" si="1"/>
        <v>8.25</v>
      </c>
    </row>
    <row r="42">
      <c r="B42" s="20" t="s">
        <v>108</v>
      </c>
      <c r="C42" s="19"/>
      <c r="D42" s="20">
        <v>1.0</v>
      </c>
      <c r="E42" s="19">
        <f t="array" ref="E42">IF(B42="","",IFERROR(INDEX(Produtos!E:E,MATCH(B42&amp;C42,Produtos!B:B&amp;Produtos!C:C,0)),""))</f>
        <v>8.25</v>
      </c>
      <c r="F42" s="19">
        <f t="shared" si="1"/>
        <v>8.25</v>
      </c>
    </row>
    <row r="43">
      <c r="B43" s="20" t="s">
        <v>109</v>
      </c>
      <c r="C43" s="19"/>
      <c r="D43" s="20">
        <v>1.0</v>
      </c>
      <c r="E43" s="19">
        <f t="array" ref="E43">IF(B43="","",IFERROR(INDEX(Produtos!E:E,MATCH(B43&amp;C43,Produtos!B:B&amp;Produtos!C:C,0)),""))</f>
        <v>8.25</v>
      </c>
      <c r="F43" s="19">
        <f t="shared" si="1"/>
        <v>8.25</v>
      </c>
    </row>
    <row r="44">
      <c r="B44" s="20" t="s">
        <v>110</v>
      </c>
      <c r="C44" s="19"/>
      <c r="D44" s="20">
        <v>1.0</v>
      </c>
      <c r="E44" s="19">
        <f t="array" ref="E44">IF(B44="","",IFERROR(INDEX(Produtos!E:E,MATCH(B44&amp;C44,Produtos!B:B&amp;Produtos!C:C,0)),""))</f>
        <v>8.25</v>
      </c>
      <c r="F44" s="19">
        <f t="shared" si="1"/>
        <v>8.25</v>
      </c>
    </row>
    <row r="45">
      <c r="B45" s="20" t="s">
        <v>111</v>
      </c>
      <c r="C45" s="19"/>
      <c r="D45" s="20">
        <v>1.0</v>
      </c>
      <c r="E45" s="19">
        <f t="array" ref="E45">IF(B45="","",IFERROR(INDEX(Produtos!E:E,MATCH(B45&amp;C45,Produtos!B:B&amp;Produtos!C:C,0)),""))</f>
        <v>8.25</v>
      </c>
      <c r="F45" s="19">
        <f t="shared" si="1"/>
        <v>8.25</v>
      </c>
    </row>
    <row r="46">
      <c r="B46" s="20" t="s">
        <v>112</v>
      </c>
      <c r="C46" s="19"/>
      <c r="D46" s="20">
        <v>1.0</v>
      </c>
      <c r="E46" s="19">
        <f t="array" ref="E46">IF(B46="","",IFERROR(INDEX(Produtos!E:E,MATCH(B46&amp;C46,Produtos!B:B&amp;Produtos!C:C,0)),""))</f>
        <v>8.25</v>
      </c>
      <c r="F46" s="19">
        <f t="shared" si="1"/>
        <v>8.25</v>
      </c>
    </row>
    <row r="47">
      <c r="B47" s="20" t="s">
        <v>113</v>
      </c>
      <c r="C47" s="19"/>
      <c r="D47" s="20">
        <v>1.0</v>
      </c>
      <c r="E47" s="19">
        <f t="array" ref="E47">IF(B47="","",IFERROR(INDEX(Produtos!E:E,MATCH(B47&amp;C47,Produtos!B:B&amp;Produtos!C:C,0)),""))</f>
        <v>8.25</v>
      </c>
      <c r="F47" s="19">
        <f t="shared" si="1"/>
        <v>8.25</v>
      </c>
    </row>
    <row r="48">
      <c r="B48" s="20" t="s">
        <v>114</v>
      </c>
      <c r="C48" s="19"/>
      <c r="D48" s="20">
        <v>1.0</v>
      </c>
      <c r="E48" s="19">
        <f t="array" ref="E48">IF(B48="","",IFERROR(INDEX(Produtos!E:E,MATCH(B48&amp;C48,Produtos!B:B&amp;Produtos!C:C,0)),""))</f>
        <v>6.9</v>
      </c>
      <c r="F48" s="19">
        <f t="shared" si="1"/>
        <v>6.9</v>
      </c>
    </row>
    <row r="49">
      <c r="B49" s="20" t="s">
        <v>115</v>
      </c>
      <c r="C49" s="19"/>
      <c r="D49" s="20">
        <v>1.0</v>
      </c>
      <c r="E49" s="19">
        <f t="array" ref="E49">IF(B49="","",IFERROR(INDEX(Produtos!E:E,MATCH(B49&amp;C49,Produtos!B:B&amp;Produtos!C:C,0)),""))</f>
        <v>8.25</v>
      </c>
      <c r="F49" s="19">
        <f t="shared" si="1"/>
        <v>8.25</v>
      </c>
    </row>
    <row r="50">
      <c r="B50" s="20" t="s">
        <v>116</v>
      </c>
      <c r="C50" s="19"/>
      <c r="D50" s="20">
        <v>1.0</v>
      </c>
      <c r="E50" s="19">
        <f t="array" ref="E50">IF(B50="","",IFERROR(INDEX(Produtos!E:E,MATCH(B50&amp;C50,Produtos!B:B&amp;Produtos!C:C,0)),""))</f>
        <v>8.25</v>
      </c>
      <c r="F50" s="19">
        <f t="shared" si="1"/>
        <v>8.25</v>
      </c>
    </row>
    <row r="51">
      <c r="B51" s="20" t="s">
        <v>117</v>
      </c>
      <c r="C51" s="19"/>
      <c r="D51" s="20">
        <v>1.0</v>
      </c>
      <c r="E51" s="19">
        <f t="array" ref="E51">IF(B51="","",IFERROR(INDEX(Produtos!E:E,MATCH(B51&amp;C51,Produtos!B:B&amp;Produtos!C:C,0)),""))</f>
        <v>8.25</v>
      </c>
      <c r="F51" s="19">
        <f t="shared" si="1"/>
        <v>8.25</v>
      </c>
    </row>
    <row r="52">
      <c r="B52" s="20" t="s">
        <v>118</v>
      </c>
      <c r="C52" s="19"/>
      <c r="D52" s="20">
        <v>1.0</v>
      </c>
      <c r="E52" s="19">
        <f t="array" ref="E52">IF(B52="","",IFERROR(INDEX(Produtos!E:E,MATCH(B52&amp;C52,Produtos!B:B&amp;Produtos!C:C,0)),""))</f>
        <v>21.9</v>
      </c>
      <c r="F52" s="19">
        <f t="shared" si="1"/>
        <v>21.9</v>
      </c>
    </row>
    <row r="53">
      <c r="B53" s="20" t="s">
        <v>119</v>
      </c>
      <c r="C53" s="19"/>
      <c r="D53" s="20">
        <v>1.0</v>
      </c>
      <c r="E53" s="19">
        <f t="array" ref="E53">IF(B53="","",IFERROR(INDEX(Produtos!E:E,MATCH(B53&amp;C53,Produtos!B:B&amp;Produtos!C:C,0)),""))</f>
        <v>12.5</v>
      </c>
      <c r="F53" s="19">
        <f t="shared" si="1"/>
        <v>12.5</v>
      </c>
    </row>
    <row r="54">
      <c r="B54" s="20" t="s">
        <v>120</v>
      </c>
      <c r="C54" s="19"/>
      <c r="D54" s="20">
        <v>1.0</v>
      </c>
      <c r="E54" s="19">
        <f t="array" ref="E54">IF(B54="","",IFERROR(INDEX(Produtos!E:E,MATCH(B54&amp;C54,Produtos!B:B&amp;Produtos!C:C,0)),""))</f>
        <v>12.5</v>
      </c>
      <c r="F54" s="19">
        <f t="shared" si="1"/>
        <v>12.5</v>
      </c>
    </row>
    <row r="55">
      <c r="B55" s="20" t="s">
        <v>121</v>
      </c>
      <c r="C55" s="19"/>
      <c r="D55" s="20">
        <v>1.0</v>
      </c>
      <c r="E55" s="19">
        <f t="array" ref="E55">IF(B55="","",IFERROR(INDEX(Produtos!E:E,MATCH(B55&amp;C55,Produtos!B:B&amp;Produtos!C:C,0)),""))</f>
        <v>19.5</v>
      </c>
      <c r="F55" s="19">
        <f t="shared" si="1"/>
        <v>19.5</v>
      </c>
    </row>
    <row r="56">
      <c r="B56" s="20" t="s">
        <v>122</v>
      </c>
      <c r="C56" s="19"/>
      <c r="D56" s="20">
        <v>1.0</v>
      </c>
      <c r="E56" s="19">
        <f t="array" ref="E56">IF(B56="","",IFERROR(INDEX(Produtos!E:E,MATCH(B56&amp;C56,Produtos!B:B&amp;Produtos!C:C,0)),""))</f>
        <v>19.5</v>
      </c>
      <c r="F56" s="19">
        <f t="shared" si="1"/>
        <v>19.5</v>
      </c>
    </row>
    <row r="57">
      <c r="B57" s="20" t="s">
        <v>123</v>
      </c>
      <c r="C57" s="19"/>
      <c r="D57" s="20">
        <v>1.0</v>
      </c>
      <c r="E57" s="19">
        <f t="array" ref="E57">IF(B57="","",IFERROR(INDEX(Produtos!E:E,MATCH(B57&amp;C57,Produtos!B:B&amp;Produtos!C:C,0)),""))</f>
        <v>19.5</v>
      </c>
      <c r="F57" s="19">
        <f t="shared" si="1"/>
        <v>19.5</v>
      </c>
    </row>
    <row r="58">
      <c r="B58" s="20" t="s">
        <v>124</v>
      </c>
      <c r="C58" s="19"/>
      <c r="D58" s="20">
        <v>1.0</v>
      </c>
      <c r="E58" s="19">
        <f t="array" ref="E58">IF(B58="","",IFERROR(INDEX(Produtos!E:E,MATCH(B58&amp;C58,Produtos!B:B&amp;Produtos!C:C,0)),""))</f>
        <v>30.5</v>
      </c>
      <c r="F58" s="19">
        <f t="shared" si="1"/>
        <v>30.5</v>
      </c>
    </row>
    <row r="59">
      <c r="B59" s="20" t="s">
        <v>125</v>
      </c>
      <c r="C59" s="19"/>
      <c r="D59" s="20">
        <v>1.0</v>
      </c>
      <c r="E59" s="19">
        <f t="array" ref="E59">IF(B59="","",IFERROR(INDEX(Produtos!E:E,MATCH(B59&amp;C59,Produtos!B:B&amp;Produtos!C:C,0)),""))</f>
        <v>19</v>
      </c>
      <c r="F59" s="19">
        <f t="shared" si="1"/>
        <v>19</v>
      </c>
    </row>
    <row r="60">
      <c r="B60" s="20" t="s">
        <v>126</v>
      </c>
      <c r="C60" s="19"/>
      <c r="D60" s="20">
        <v>1.0</v>
      </c>
      <c r="E60" s="19">
        <f t="array" ref="E60">IF(B60="","",IFERROR(INDEX(Produtos!E:E,MATCH(B60&amp;C60,Produtos!B:B&amp;Produtos!C:C,0)),""))</f>
        <v>15.4</v>
      </c>
      <c r="F60" s="19">
        <f t="shared" si="1"/>
        <v>15.4</v>
      </c>
    </row>
    <row r="61">
      <c r="B61" s="20" t="s">
        <v>127</v>
      </c>
      <c r="C61" s="19"/>
      <c r="D61" s="20">
        <v>1.0</v>
      </c>
      <c r="E61" s="19">
        <f t="array" ref="E61">IF(B61="","",IFERROR(INDEX(Produtos!E:E,MATCH(B61&amp;C61,Produtos!B:B&amp;Produtos!C:C,0)),""))</f>
        <v>22.9</v>
      </c>
      <c r="F61" s="19">
        <f t="shared" si="1"/>
        <v>22.9</v>
      </c>
    </row>
    <row r="62">
      <c r="B62" s="20" t="s">
        <v>128</v>
      </c>
      <c r="C62" s="19"/>
      <c r="D62" s="20">
        <v>1.0</v>
      </c>
      <c r="E62" s="19">
        <f t="array" ref="E62">IF(B62="","",IFERROR(INDEX(Produtos!E:E,MATCH(B62&amp;C62,Produtos!B:B&amp;Produtos!C:C,0)),""))</f>
        <v>22.9</v>
      </c>
      <c r="F62" s="19">
        <f t="shared" si="1"/>
        <v>22.9</v>
      </c>
    </row>
    <row r="63">
      <c r="B63" s="20" t="s">
        <v>129</v>
      </c>
      <c r="C63" s="19"/>
      <c r="D63" s="20">
        <v>1.0</v>
      </c>
      <c r="E63" s="19">
        <f t="array" ref="E63">IF(B63="","",IFERROR(INDEX(Produtos!E:E,MATCH(B63&amp;C63,Produtos!B:B&amp;Produtos!C:C,0)),""))</f>
        <v>22.5</v>
      </c>
      <c r="F63" s="19">
        <f t="shared" si="1"/>
        <v>22.5</v>
      </c>
    </row>
    <row r="64">
      <c r="B64" s="20" t="s">
        <v>130</v>
      </c>
      <c r="C64" s="19"/>
      <c r="D64" s="20">
        <v>1.0</v>
      </c>
      <c r="E64" s="19">
        <f t="array" ref="E64">IF(B64="","",IFERROR(INDEX(Produtos!E:E,MATCH(B64&amp;C64,Produtos!B:B&amp;Produtos!C:C,0)),""))</f>
        <v>22.5</v>
      </c>
      <c r="F64" s="19">
        <f t="shared" si="1"/>
        <v>22.5</v>
      </c>
    </row>
    <row r="65">
      <c r="B65" s="20" t="s">
        <v>131</v>
      </c>
      <c r="C65" s="19"/>
      <c r="D65" s="20">
        <v>1.0</v>
      </c>
      <c r="E65" s="19">
        <f t="array" ref="E65">IF(B65="","",IFERROR(INDEX(Produtos!E:E,MATCH(B65&amp;C65,Produtos!B:B&amp;Produtos!C:C,0)),""))</f>
        <v>35</v>
      </c>
      <c r="F65" s="19">
        <f t="shared" si="1"/>
        <v>35</v>
      </c>
    </row>
    <row r="66">
      <c r="B66" s="20" t="s">
        <v>132</v>
      </c>
      <c r="C66" s="19"/>
      <c r="D66" s="20">
        <v>1.0</v>
      </c>
      <c r="E66" s="19">
        <f t="array" ref="E66">IF(B66="","",IFERROR(INDEX(Produtos!E:E,MATCH(B66&amp;C66,Produtos!B:B&amp;Produtos!C:C,0)),""))</f>
        <v>44.9</v>
      </c>
      <c r="F66" s="19">
        <f t="shared" si="1"/>
        <v>44.9</v>
      </c>
    </row>
    <row r="67">
      <c r="B67" s="20" t="s">
        <v>133</v>
      </c>
      <c r="C67" s="19"/>
      <c r="D67" s="20">
        <v>1.0</v>
      </c>
      <c r="E67" s="19">
        <f t="array" ref="E67">IF(B67="","",IFERROR(INDEX(Produtos!E:E,MATCH(B67&amp;C67,Produtos!B:B&amp;Produtos!C:C,0)),""))</f>
        <v>14.5</v>
      </c>
      <c r="F67" s="19">
        <f t="shared" si="1"/>
        <v>14.5</v>
      </c>
    </row>
    <row r="68">
      <c r="B68" s="20" t="s">
        <v>134</v>
      </c>
      <c r="C68" s="19"/>
      <c r="D68" s="20">
        <v>1.0</v>
      </c>
      <c r="E68" s="19">
        <f t="array" ref="E68">IF(B68="","",IFERROR(INDEX(Produtos!E:E,MATCH(B68&amp;C68,Produtos!B:B&amp;Produtos!C:C,0)),""))</f>
        <v>7.5</v>
      </c>
      <c r="F68" s="19">
        <f t="shared" si="1"/>
        <v>7.5</v>
      </c>
    </row>
    <row r="69">
      <c r="B69" s="20" t="s">
        <v>135</v>
      </c>
      <c r="C69" s="19"/>
      <c r="D69" s="20">
        <v>1.0</v>
      </c>
      <c r="E69" s="19">
        <f t="array" ref="E69">IF(B69="","",IFERROR(INDEX(Produtos!E:E,MATCH(B69&amp;C69,Produtos!B:B&amp;Produtos!C:C,0)),""))</f>
        <v>5.95</v>
      </c>
      <c r="F69" s="19">
        <f t="shared" si="1"/>
        <v>5.95</v>
      </c>
    </row>
    <row r="70">
      <c r="B70" s="20" t="s">
        <v>136</v>
      </c>
      <c r="C70" s="19"/>
      <c r="D70" s="20">
        <v>1.0</v>
      </c>
      <c r="E70" s="19">
        <f t="array" ref="E70">IF(B70="","",IFERROR(INDEX(Produtos!E:E,MATCH(B70&amp;C70,Produtos!B:B&amp;Produtos!C:C,0)),""))</f>
        <v>5.95</v>
      </c>
      <c r="F70" s="19">
        <f t="shared" si="1"/>
        <v>5.95</v>
      </c>
    </row>
    <row r="71">
      <c r="B71" s="20" t="s">
        <v>137</v>
      </c>
      <c r="C71" s="19"/>
      <c r="D71" s="20">
        <v>1.0</v>
      </c>
      <c r="E71" s="19">
        <f t="array" ref="E71">IF(B71="","",IFERROR(INDEX(Produtos!E:E,MATCH(B71&amp;C71,Produtos!B:B&amp;Produtos!C:C,0)),""))</f>
        <v>5.95</v>
      </c>
      <c r="F71" s="19">
        <f t="shared" si="1"/>
        <v>5.95</v>
      </c>
    </row>
    <row r="72">
      <c r="B72" s="20" t="s">
        <v>138</v>
      </c>
      <c r="C72" s="19"/>
      <c r="D72" s="20">
        <v>1.0</v>
      </c>
      <c r="E72" s="19">
        <f t="array" ref="E72">IF(B72="","",IFERROR(INDEX(Produtos!E:E,MATCH(B72&amp;C72,Produtos!B:B&amp;Produtos!C:C,0)),""))</f>
        <v>5.95</v>
      </c>
      <c r="F72" s="19">
        <f t="shared" si="1"/>
        <v>5.95</v>
      </c>
    </row>
    <row r="73">
      <c r="B73" s="20" t="s">
        <v>139</v>
      </c>
      <c r="C73" s="19"/>
      <c r="D73" s="20">
        <v>1.0</v>
      </c>
      <c r="E73" s="19">
        <f t="array" ref="E73">IF(B73="","",IFERROR(INDEX(Produtos!E:E,MATCH(B73&amp;C73,Produtos!B:B&amp;Produtos!C:C,0)),""))</f>
        <v>7.2</v>
      </c>
      <c r="F73" s="19">
        <f t="shared" si="1"/>
        <v>7.2</v>
      </c>
    </row>
    <row r="74">
      <c r="B74" s="20" t="s">
        <v>140</v>
      </c>
      <c r="C74" s="19"/>
      <c r="D74" s="20">
        <v>1.0</v>
      </c>
      <c r="E74" s="19">
        <f t="array" ref="E74">IF(B74="","",IFERROR(INDEX(Produtos!E:E,MATCH(B74&amp;C74,Produtos!B:B&amp;Produtos!C:C,0)),""))</f>
        <v>7.2</v>
      </c>
      <c r="F74" s="19">
        <f t="shared" si="1"/>
        <v>7.2</v>
      </c>
    </row>
    <row r="75">
      <c r="B75" s="20" t="s">
        <v>141</v>
      </c>
      <c r="C75" s="19"/>
      <c r="D75" s="20">
        <v>1.0</v>
      </c>
      <c r="E75" s="19">
        <f t="array" ref="E75">IF(B75="","",IFERROR(INDEX(Produtos!E:E,MATCH(B75&amp;C75,Produtos!B:B&amp;Produtos!C:C,0)),""))</f>
        <v>7.2</v>
      </c>
      <c r="F75" s="19">
        <f t="shared" si="1"/>
        <v>7.2</v>
      </c>
    </row>
    <row r="76">
      <c r="B76" s="20" t="s">
        <v>142</v>
      </c>
      <c r="C76" s="19"/>
      <c r="D76" s="20">
        <v>1.0</v>
      </c>
      <c r="E76" s="19">
        <f t="array" ref="E76">IF(B76="","",IFERROR(INDEX(Produtos!E:E,MATCH(B76&amp;C76,Produtos!B:B&amp;Produtos!C:C,0)),""))</f>
        <v>7.2</v>
      </c>
      <c r="F76" s="19">
        <f t="shared" si="1"/>
        <v>7.2</v>
      </c>
    </row>
    <row r="77">
      <c r="B77" s="20" t="s">
        <v>143</v>
      </c>
      <c r="C77" s="19"/>
      <c r="D77" s="20">
        <v>1.0</v>
      </c>
      <c r="E77" s="19">
        <f t="array" ref="E77">IF(B77="","",IFERROR(INDEX(Produtos!E:E,MATCH(B77&amp;C77,Produtos!B:B&amp;Produtos!C:C,0)),""))</f>
        <v>7.2</v>
      </c>
      <c r="F77" s="19">
        <f t="shared" si="1"/>
        <v>7.2</v>
      </c>
    </row>
    <row r="78">
      <c r="B78" s="20" t="s">
        <v>144</v>
      </c>
      <c r="C78" s="19"/>
      <c r="D78" s="20">
        <v>1.0</v>
      </c>
      <c r="E78" s="19">
        <f t="array" ref="E78">IF(B78="","",IFERROR(INDEX(Produtos!E:E,MATCH(B78&amp;C78,Produtos!B:B&amp;Produtos!C:C,0)),""))</f>
        <v>7.2</v>
      </c>
      <c r="F78" s="19">
        <f t="shared" si="1"/>
        <v>7.2</v>
      </c>
    </row>
    <row r="79">
      <c r="B79" s="20" t="s">
        <v>145</v>
      </c>
      <c r="C79" s="19"/>
      <c r="D79" s="20">
        <v>1.0</v>
      </c>
      <c r="E79" s="19">
        <f t="array" ref="E79">IF(B79="","",IFERROR(INDEX(Produtos!E:E,MATCH(B79&amp;C79,Produtos!B:B&amp;Produtos!C:C,0)),""))</f>
        <v>5.9</v>
      </c>
      <c r="F79" s="19">
        <f t="shared" si="1"/>
        <v>5.9</v>
      </c>
    </row>
    <row r="80">
      <c r="B80" s="20" t="s">
        <v>146</v>
      </c>
      <c r="C80" s="19"/>
      <c r="D80" s="20">
        <v>1.0</v>
      </c>
      <c r="E80" s="19">
        <f t="array" ref="E80">IF(B80="","",IFERROR(INDEX(Produtos!E:E,MATCH(B80&amp;C80,Produtos!B:B&amp;Produtos!C:C,0)),""))</f>
        <v>5.9</v>
      </c>
      <c r="F80" s="19">
        <f t="shared" si="1"/>
        <v>5.9</v>
      </c>
    </row>
    <row r="81">
      <c r="B81" s="20" t="s">
        <v>147</v>
      </c>
      <c r="C81" s="19"/>
      <c r="D81" s="20">
        <v>1.0</v>
      </c>
      <c r="E81" s="19">
        <f t="array" ref="E81">IF(B81="","",IFERROR(INDEX(Produtos!E:E,MATCH(B81&amp;C81,Produtos!B:B&amp;Produtos!C:C,0)),""))</f>
        <v>5.9</v>
      </c>
      <c r="F81" s="19">
        <f t="shared" si="1"/>
        <v>5.9</v>
      </c>
    </row>
    <row r="82">
      <c r="B82" s="20" t="s">
        <v>148</v>
      </c>
      <c r="C82" s="19"/>
      <c r="D82" s="20">
        <v>1.0</v>
      </c>
      <c r="E82" s="19">
        <f t="array" ref="E82">IF(B82="","",IFERROR(INDEX(Produtos!E:E,MATCH(B82&amp;C82,Produtos!B:B&amp;Produtos!C:C,0)),""))</f>
        <v>28.9</v>
      </c>
      <c r="F82" s="19">
        <f t="shared" si="1"/>
        <v>28.9</v>
      </c>
    </row>
    <row r="83">
      <c r="B83" s="20" t="s">
        <v>149</v>
      </c>
      <c r="C83" s="19"/>
      <c r="D83" s="20">
        <v>1.0</v>
      </c>
      <c r="E83" s="19">
        <f t="array" ref="E83">IF(B83="","",IFERROR(INDEX(Produtos!E:E,MATCH(B83&amp;C83,Produtos!B:B&amp;Produtos!C:C,0)),""))</f>
        <v>28.9</v>
      </c>
      <c r="F83" s="19">
        <f t="shared" si="1"/>
        <v>28.9</v>
      </c>
    </row>
    <row r="84">
      <c r="B84" s="20" t="s">
        <v>150</v>
      </c>
      <c r="C84" s="19"/>
      <c r="D84" s="20">
        <v>1.0</v>
      </c>
      <c r="E84" s="19">
        <f t="array" ref="E84">IF(B84="","",IFERROR(INDEX(Produtos!E:E,MATCH(B84&amp;C84,Produtos!B:B&amp;Produtos!C:C,0)),""))</f>
        <v>24.9</v>
      </c>
      <c r="F84" s="19">
        <f t="shared" si="1"/>
        <v>24.9</v>
      </c>
    </row>
    <row r="85">
      <c r="B85" s="20" t="s">
        <v>151</v>
      </c>
      <c r="C85" s="19"/>
      <c r="D85" s="20">
        <v>1.0</v>
      </c>
      <c r="E85" s="19">
        <f t="array" ref="E85">IF(B85="","",IFERROR(INDEX(Produtos!E:E,MATCH(B85&amp;C85,Produtos!B:B&amp;Produtos!C:C,0)),""))</f>
        <v>11.61</v>
      </c>
      <c r="F85" s="19">
        <f t="shared" si="1"/>
        <v>11.61</v>
      </c>
    </row>
    <row r="86">
      <c r="B86" s="20" t="s">
        <v>152</v>
      </c>
      <c r="C86" s="19"/>
      <c r="D86" s="20">
        <v>1.0</v>
      </c>
      <c r="E86" s="19">
        <f t="array" ref="E86">IF(B86="","",IFERROR(INDEX(Produtos!E:E,MATCH(B86&amp;C86,Produtos!B:B&amp;Produtos!C:C,0)),""))</f>
        <v>6.93</v>
      </c>
      <c r="F86" s="19">
        <f t="shared" si="1"/>
        <v>6.93</v>
      </c>
    </row>
    <row r="87">
      <c r="B87" s="20" t="s">
        <v>153</v>
      </c>
      <c r="C87" s="19"/>
      <c r="D87" s="20">
        <v>1.0</v>
      </c>
      <c r="E87" s="19">
        <f t="array" ref="E87">IF(B87="","",IFERROR(INDEX(Produtos!E:E,MATCH(B87&amp;C87,Produtos!B:B&amp;Produtos!C:C,0)),""))</f>
        <v>10.71</v>
      </c>
      <c r="F87" s="19">
        <f t="shared" si="1"/>
        <v>10.71</v>
      </c>
    </row>
    <row r="88">
      <c r="B88" s="20" t="s">
        <v>154</v>
      </c>
      <c r="C88" s="19"/>
      <c r="D88" s="20">
        <v>1.0</v>
      </c>
      <c r="E88" s="19">
        <f t="array" ref="E88">IF(B88="","",IFERROR(INDEX(Produtos!E:E,MATCH(B88&amp;C88,Produtos!B:B&amp;Produtos!C:C,0)),""))</f>
        <v>25.9</v>
      </c>
      <c r="F88" s="19">
        <f t="shared" si="1"/>
        <v>25.9</v>
      </c>
    </row>
    <row r="89">
      <c r="B89" s="20" t="s">
        <v>155</v>
      </c>
      <c r="C89" s="19"/>
      <c r="D89" s="20">
        <v>1.0</v>
      </c>
      <c r="E89" s="19">
        <f t="array" ref="E89">IF(B89="","",IFERROR(INDEX(Produtos!E:E,MATCH(B89&amp;C89,Produtos!B:B&amp;Produtos!C:C,0)),""))</f>
        <v>19.9</v>
      </c>
      <c r="F89" s="19">
        <f t="shared" si="1"/>
        <v>19.9</v>
      </c>
    </row>
    <row r="90">
      <c r="B90" s="20" t="s">
        <v>156</v>
      </c>
      <c r="C90" s="19"/>
      <c r="D90" s="20">
        <v>1.0</v>
      </c>
      <c r="E90" s="19">
        <f t="array" ref="E90">IF(B90="","",IFERROR(INDEX(Produtos!E:E,MATCH(B90&amp;C90,Produtos!B:B&amp;Produtos!C:C,0)),""))</f>
        <v>19.9</v>
      </c>
      <c r="F90" s="19">
        <f t="shared" si="1"/>
        <v>19.9</v>
      </c>
    </row>
    <row r="91">
      <c r="B91" s="20" t="s">
        <v>157</v>
      </c>
      <c r="C91" s="19"/>
      <c r="D91" s="20">
        <v>1.0</v>
      </c>
      <c r="E91" s="19">
        <f t="array" ref="E91">IF(B91="","",IFERROR(INDEX(Produtos!E:E,MATCH(B91&amp;C91,Produtos!B:B&amp;Produtos!C:C,0)),""))</f>
        <v>21.9</v>
      </c>
      <c r="F91" s="19">
        <f t="shared" si="1"/>
        <v>21.9</v>
      </c>
    </row>
    <row r="92">
      <c r="B92" s="20" t="s">
        <v>158</v>
      </c>
      <c r="C92" s="19"/>
      <c r="D92" s="20">
        <v>1.0</v>
      </c>
      <c r="E92" s="19">
        <f t="array" ref="E92">IF(B92="","",IFERROR(INDEX(Produtos!E:E,MATCH(B92&amp;C92,Produtos!B:B&amp;Produtos!C:C,0)),""))</f>
        <v>21.9</v>
      </c>
      <c r="F92" s="19">
        <f t="shared" si="1"/>
        <v>21.9</v>
      </c>
    </row>
    <row r="93">
      <c r="B93" s="20" t="s">
        <v>159</v>
      </c>
      <c r="C93" s="19"/>
      <c r="D93" s="20">
        <v>1.0</v>
      </c>
      <c r="E93" s="19">
        <f t="array" ref="E93">IF(B93="","",IFERROR(INDEX(Produtos!E:E,MATCH(B93&amp;C93,Produtos!B:B&amp;Produtos!C:C,0)),""))</f>
        <v>21.25</v>
      </c>
      <c r="F93" s="19">
        <f t="shared" si="1"/>
        <v>21.25</v>
      </c>
    </row>
    <row r="94">
      <c r="B94" s="20" t="s">
        <v>160</v>
      </c>
      <c r="C94" s="19"/>
      <c r="D94" s="20">
        <v>1.0</v>
      </c>
      <c r="E94" s="19">
        <f t="array" ref="E94">IF(B94="","",IFERROR(INDEX(Produtos!E:E,MATCH(B94&amp;C94,Produtos!B:B&amp;Produtos!C:C,0)),""))</f>
        <v>7.65</v>
      </c>
      <c r="F94" s="19">
        <f t="shared" si="1"/>
        <v>7.65</v>
      </c>
    </row>
    <row r="95">
      <c r="B95" s="20" t="s">
        <v>161</v>
      </c>
      <c r="C95" s="19"/>
      <c r="D95" s="20">
        <v>1.0</v>
      </c>
      <c r="E95" s="19">
        <f t="array" ref="E95">IF(B95="","",IFERROR(INDEX(Produtos!E:E,MATCH(B95&amp;C95,Produtos!B:B&amp;Produtos!C:C,0)),""))</f>
        <v>7.65</v>
      </c>
      <c r="F95" s="19">
        <f t="shared" si="1"/>
        <v>7.65</v>
      </c>
    </row>
    <row r="96">
      <c r="B96" s="20" t="s">
        <v>162</v>
      </c>
      <c r="C96" s="19"/>
      <c r="D96" s="20">
        <v>1.0</v>
      </c>
      <c r="E96" s="19">
        <f t="array" ref="E96">IF(B96="","",IFERROR(INDEX(Produtos!E:E,MATCH(B96&amp;C96,Produtos!B:B&amp;Produtos!C:C,0)),""))</f>
        <v>7.65</v>
      </c>
      <c r="F96" s="19">
        <f t="shared" si="1"/>
        <v>7.65</v>
      </c>
    </row>
    <row r="97">
      <c r="B97" s="20" t="s">
        <v>163</v>
      </c>
      <c r="C97" s="19"/>
      <c r="D97" s="20">
        <v>1.0</v>
      </c>
      <c r="E97" s="19">
        <f t="array" ref="E97">IF(B97="","",IFERROR(INDEX(Produtos!E:E,MATCH(B97&amp;C97,Produtos!B:B&amp;Produtos!C:C,0)),""))</f>
        <v>3.7</v>
      </c>
      <c r="F97" s="19">
        <f t="shared" si="1"/>
        <v>3.7</v>
      </c>
    </row>
    <row r="98">
      <c r="B98" s="20" t="s">
        <v>164</v>
      </c>
      <c r="C98" s="19"/>
      <c r="D98" s="20">
        <v>1.0</v>
      </c>
      <c r="E98" s="19">
        <f t="array" ref="E98">IF(B98="","",IFERROR(INDEX(Produtos!E:E,MATCH(B98&amp;C98,Produtos!B:B&amp;Produtos!C:C,0)),""))</f>
        <v>3.7</v>
      </c>
      <c r="F98" s="19">
        <f t="shared" si="1"/>
        <v>3.7</v>
      </c>
    </row>
    <row r="99">
      <c r="B99" s="20" t="s">
        <v>165</v>
      </c>
      <c r="C99" s="19"/>
      <c r="D99" s="20">
        <v>1.0</v>
      </c>
      <c r="E99" s="19">
        <f t="array" ref="E99">IF(B99="","",IFERROR(INDEX(Produtos!E:E,MATCH(B99&amp;C99,Produtos!B:B&amp;Produtos!C:C,0)),""))</f>
        <v>3.7</v>
      </c>
      <c r="F99" s="19">
        <f t="shared" si="1"/>
        <v>3.7</v>
      </c>
    </row>
    <row r="100">
      <c r="B100" s="20" t="s">
        <v>166</v>
      </c>
      <c r="C100" s="19"/>
      <c r="D100" s="20">
        <v>1.0</v>
      </c>
      <c r="E100" s="19">
        <f t="array" ref="E100">IF(B100="","",IFERROR(INDEX(Produtos!E:E,MATCH(B100&amp;C100,Produtos!B:B&amp;Produtos!C:C,0)),""))</f>
        <v>3.7</v>
      </c>
      <c r="F100" s="19">
        <f t="shared" si="1"/>
        <v>3.7</v>
      </c>
    </row>
    <row r="101">
      <c r="B101" s="20" t="s">
        <v>167</v>
      </c>
      <c r="C101" s="19"/>
      <c r="D101" s="20">
        <v>1.0</v>
      </c>
      <c r="E101" s="19">
        <f t="array" ref="E101">IF(B101="","",IFERROR(INDEX(Produtos!E:E,MATCH(B101&amp;C101,Produtos!B:B&amp;Produtos!C:C,0)),""))</f>
        <v>3.7</v>
      </c>
      <c r="F101" s="19">
        <f t="shared" si="1"/>
        <v>3.7</v>
      </c>
    </row>
    <row r="102">
      <c r="B102" s="20" t="s">
        <v>168</v>
      </c>
      <c r="C102" s="19"/>
      <c r="D102" s="20">
        <v>1.0</v>
      </c>
      <c r="E102" s="19">
        <f t="array" ref="E102">IF(B102="","",IFERROR(INDEX(Produtos!E:E,MATCH(B102&amp;C102,Produtos!B:B&amp;Produtos!C:C,0)),""))</f>
        <v>3.7</v>
      </c>
      <c r="F102" s="19">
        <f t="shared" si="1"/>
        <v>3.7</v>
      </c>
    </row>
    <row r="103">
      <c r="B103" s="20" t="s">
        <v>169</v>
      </c>
      <c r="C103" s="19"/>
      <c r="D103" s="20">
        <v>1.0</v>
      </c>
      <c r="E103" s="19">
        <f t="array" ref="E103">IF(B103="","",IFERROR(INDEX(Produtos!E:E,MATCH(B103&amp;C103,Produtos!B:B&amp;Produtos!C:C,0)),""))</f>
        <v>6.5</v>
      </c>
      <c r="F103" s="19">
        <f t="shared" si="1"/>
        <v>6.5</v>
      </c>
    </row>
    <row r="104">
      <c r="B104" s="20" t="s">
        <v>170</v>
      </c>
      <c r="C104" s="19"/>
      <c r="D104" s="20">
        <v>1.0</v>
      </c>
      <c r="E104" s="19">
        <f t="array" ref="E104">IF(B104="","",IFERROR(INDEX(Produtos!E:E,MATCH(B104&amp;C104,Produtos!B:B&amp;Produtos!C:C,0)),""))</f>
        <v>7.25</v>
      </c>
      <c r="F104" s="19">
        <f t="shared" si="1"/>
        <v>7.25</v>
      </c>
    </row>
    <row r="105">
      <c r="B105" s="20" t="s">
        <v>171</v>
      </c>
      <c r="C105" s="19"/>
      <c r="D105" s="20">
        <v>1.0</v>
      </c>
      <c r="E105" s="19">
        <f t="array" ref="E105">IF(B105="","",IFERROR(INDEX(Produtos!E:E,MATCH(B105&amp;C105,Produtos!B:B&amp;Produtos!C:C,0)),""))</f>
        <v>7.25</v>
      </c>
      <c r="F105" s="19">
        <f t="shared" si="1"/>
        <v>7.25</v>
      </c>
    </row>
    <row r="106">
      <c r="B106" s="20" t="s">
        <v>172</v>
      </c>
      <c r="C106" s="19"/>
      <c r="D106" s="20">
        <v>1.0</v>
      </c>
      <c r="E106" s="19">
        <f t="array" ref="E106">IF(B106="","",IFERROR(INDEX(Produtos!E:E,MATCH(B106&amp;C106,Produtos!B:B&amp;Produtos!C:C,0)),""))</f>
        <v>6.5</v>
      </c>
      <c r="F106" s="19">
        <f t="shared" si="1"/>
        <v>6.5</v>
      </c>
    </row>
    <row r="107">
      <c r="B107" s="20" t="s">
        <v>173</v>
      </c>
      <c r="C107" s="19"/>
      <c r="D107" s="20">
        <v>1.0</v>
      </c>
      <c r="E107" s="19">
        <f t="array" ref="E107">IF(B107="","",IFERROR(INDEX(Produtos!E:E,MATCH(B107&amp;C107,Produtos!B:B&amp;Produtos!C:C,0)),""))</f>
        <v>6.5</v>
      </c>
      <c r="F107" s="19">
        <f t="shared" si="1"/>
        <v>6.5</v>
      </c>
    </row>
    <row r="108">
      <c r="B108" s="19"/>
      <c r="C108" s="19"/>
      <c r="E108" s="19" t="str">
        <f t="array" ref="E108">IF(B108="","",IFERROR(INDEX(Produtos!E:E,MATCH(B108&amp;C108,Produtos!B:B&amp;Produtos!C:C,0)),""))</f>
        <v/>
      </c>
      <c r="F108" s="19" t="str">
        <f t="shared" si="1"/>
        <v/>
      </c>
    </row>
    <row r="109">
      <c r="B109" s="19"/>
      <c r="C109" s="19"/>
      <c r="E109" s="19" t="str">
        <f t="array" ref="E109">IF(B109="","",IFERROR(INDEX(Produtos!E:E,MATCH(B109&amp;C109,Produtos!B:B&amp;Produtos!C:C,0)),""))</f>
        <v/>
      </c>
      <c r="F109" s="19" t="str">
        <f t="shared" si="1"/>
        <v/>
      </c>
    </row>
    <row r="110">
      <c r="B110" s="19"/>
      <c r="C110" s="19"/>
      <c r="E110" s="19" t="str">
        <f t="array" ref="E110">IF(B110="","",IFERROR(INDEX(Produtos!E:E,MATCH(B110&amp;C110,Produtos!B:B&amp;Produtos!C:C,0)),""))</f>
        <v/>
      </c>
      <c r="F110" s="19" t="str">
        <f t="shared" si="1"/>
        <v/>
      </c>
    </row>
    <row r="111">
      <c r="B111" s="19"/>
      <c r="C111" s="19"/>
      <c r="E111" s="19" t="str">
        <f t="array" ref="E111">IF(B111="","",IFERROR(INDEX(Produtos!E:E,MATCH(B111&amp;C111,Produtos!B:B&amp;Produtos!C:C,0)),""))</f>
        <v/>
      </c>
      <c r="F111" s="19" t="str">
        <f t="shared" si="1"/>
        <v/>
      </c>
    </row>
    <row r="112">
      <c r="B112" s="19"/>
      <c r="C112" s="19"/>
      <c r="E112" s="19" t="str">
        <f t="array" ref="E112">IF(B112="","",IFERROR(INDEX(Produtos!E:E,MATCH(B112&amp;C112,Produtos!B:B&amp;Produtos!C:C,0)),""))</f>
        <v/>
      </c>
      <c r="F112" s="19" t="str">
        <f t="shared" si="1"/>
        <v/>
      </c>
    </row>
    <row r="113">
      <c r="B113" s="19"/>
      <c r="C113" s="19"/>
      <c r="E113" s="19" t="str">
        <f t="array" ref="E113">IF(B113="","",IFERROR(INDEX(Produtos!E:E,MATCH(B113&amp;C113,Produtos!B:B&amp;Produtos!C:C,0)),""))</f>
        <v/>
      </c>
      <c r="F113" s="19" t="str">
        <f t="shared" si="1"/>
        <v/>
      </c>
    </row>
    <row r="114">
      <c r="B114" s="19"/>
      <c r="C114" s="19"/>
      <c r="E114" s="19" t="str">
        <f t="array" ref="E114">IF(B114="","",IFERROR(INDEX(Produtos!E:E,MATCH(B114&amp;C114,Produtos!B:B&amp;Produtos!C:C,0)),""))</f>
        <v/>
      </c>
      <c r="F114" s="19" t="str">
        <f t="shared" si="1"/>
        <v/>
      </c>
    </row>
    <row r="115">
      <c r="B115" s="19"/>
      <c r="C115" s="19"/>
      <c r="E115" s="19" t="str">
        <f t="array" ref="E115">IF(B115="","",IFERROR(INDEX(Produtos!E:E,MATCH(B115&amp;C115,Produtos!B:B&amp;Produtos!C:C,0)),""))</f>
        <v/>
      </c>
      <c r="F115" s="19" t="str">
        <f t="shared" si="1"/>
        <v/>
      </c>
    </row>
    <row r="116">
      <c r="B116" s="19"/>
      <c r="C116" s="19"/>
      <c r="E116" s="19" t="str">
        <f t="array" ref="E116">IF(B116="","",IFERROR(INDEX(Produtos!E:E,MATCH(B116&amp;C116,Produtos!B:B&amp;Produtos!C:C,0)),""))</f>
        <v/>
      </c>
      <c r="F116" s="19" t="str">
        <f t="shared" si="1"/>
        <v/>
      </c>
    </row>
    <row r="117">
      <c r="B117" s="19"/>
      <c r="C117" s="19"/>
      <c r="E117" s="19" t="str">
        <f t="array" ref="E117">IF(B117="","",IFERROR(INDEX(Produtos!E:E,MATCH(B117&amp;C117,Produtos!B:B&amp;Produtos!C:C,0)),""))</f>
        <v/>
      </c>
      <c r="F117" s="19" t="str">
        <f t="shared" si="1"/>
        <v/>
      </c>
    </row>
    <row r="118">
      <c r="B118" s="19"/>
      <c r="C118" s="19"/>
      <c r="E118" s="19" t="str">
        <f t="array" ref="E118">IF(B118="","",IFERROR(INDEX(Produtos!E:E,MATCH(B118&amp;C118,Produtos!B:B&amp;Produtos!C:C,0)),""))</f>
        <v/>
      </c>
      <c r="F118" s="19" t="str">
        <f t="shared" si="1"/>
        <v/>
      </c>
    </row>
    <row r="119">
      <c r="B119" s="19"/>
      <c r="C119" s="19"/>
      <c r="E119" s="19" t="str">
        <f t="array" ref="E119">IF(B119="","",IFERROR(INDEX(Produtos!E:E,MATCH(B119&amp;C119,Produtos!B:B&amp;Produtos!C:C,0)),""))</f>
        <v/>
      </c>
      <c r="F119" s="19" t="str">
        <f t="shared" si="1"/>
        <v/>
      </c>
    </row>
    <row r="120">
      <c r="B120" s="19"/>
      <c r="C120" s="19"/>
      <c r="E120" s="19" t="str">
        <f t="array" ref="E120">IF(B120="","",IFERROR(INDEX(Produtos!E:E,MATCH(B120&amp;C120,Produtos!B:B&amp;Produtos!C:C,0)),""))</f>
        <v/>
      </c>
      <c r="F120" s="19" t="str">
        <f t="shared" si="1"/>
        <v/>
      </c>
    </row>
    <row r="121">
      <c r="B121" s="19"/>
      <c r="C121" s="19"/>
      <c r="E121" s="19" t="str">
        <f t="array" ref="E121">IF(B121="","",IFERROR(INDEX(Produtos!E:E,MATCH(B121&amp;C121,Produtos!B:B&amp;Produtos!C:C,0)),""))</f>
        <v/>
      </c>
      <c r="F121" s="19" t="str">
        <f t="shared" si="1"/>
        <v/>
      </c>
    </row>
    <row r="122">
      <c r="B122" s="19"/>
      <c r="C122" s="19"/>
      <c r="E122" s="19" t="str">
        <f t="array" ref="E122">IF(B122="","",IFERROR(INDEX(Produtos!E:E,MATCH(B122&amp;C122,Produtos!B:B&amp;Produtos!C:C,0)),""))</f>
        <v/>
      </c>
      <c r="F122" s="19" t="str">
        <f t="shared" si="1"/>
        <v/>
      </c>
    </row>
    <row r="123">
      <c r="B123" s="19"/>
      <c r="C123" s="19"/>
      <c r="E123" s="19" t="str">
        <f t="array" ref="E123">IF(B123="","",IFERROR(INDEX(Produtos!E:E,MATCH(B123&amp;C123,Produtos!B:B&amp;Produtos!C:C,0)),""))</f>
        <v/>
      </c>
      <c r="F123" s="19" t="str">
        <f t="shared" si="1"/>
        <v/>
      </c>
    </row>
    <row r="124">
      <c r="B124" s="19"/>
      <c r="C124" s="19"/>
      <c r="E124" s="19" t="str">
        <f t="array" ref="E124">IF(B124="","",IFERROR(INDEX(Produtos!E:E,MATCH(B124&amp;C124,Produtos!B:B&amp;Produtos!C:C,0)),""))</f>
        <v/>
      </c>
      <c r="F124" s="19" t="str">
        <f t="shared" si="1"/>
        <v/>
      </c>
    </row>
    <row r="125">
      <c r="B125" s="19"/>
      <c r="C125" s="19"/>
      <c r="E125" s="19" t="str">
        <f t="array" ref="E125">IF(B125="","",IFERROR(INDEX(Produtos!E:E,MATCH(B125&amp;C125,Produtos!B:B&amp;Produtos!C:C,0)),""))</f>
        <v/>
      </c>
      <c r="F125" s="19" t="str">
        <f t="shared" si="1"/>
        <v/>
      </c>
    </row>
    <row r="126">
      <c r="B126" s="19"/>
      <c r="C126" s="19"/>
      <c r="E126" s="19" t="str">
        <f t="array" ref="E126">IF(B126="","",IFERROR(INDEX(Produtos!E:E,MATCH(B126&amp;C126,Produtos!B:B&amp;Produtos!C:C,0)),""))</f>
        <v/>
      </c>
      <c r="F126" s="19" t="str">
        <f t="shared" si="1"/>
        <v/>
      </c>
    </row>
    <row r="127">
      <c r="B127" s="19"/>
      <c r="C127" s="19"/>
      <c r="E127" s="19" t="str">
        <f t="array" ref="E127">IF(B127="","",IFERROR(INDEX(Produtos!E:E,MATCH(B127&amp;C127,Produtos!B:B&amp;Produtos!C:C,0)),""))</f>
        <v/>
      </c>
      <c r="F127" s="19" t="str">
        <f t="shared" si="1"/>
        <v/>
      </c>
    </row>
    <row r="128">
      <c r="B128" s="19"/>
      <c r="C128" s="19"/>
      <c r="E128" s="19" t="str">
        <f t="array" ref="E128">IF(B128="","",IFERROR(INDEX(Produtos!E:E,MATCH(B128&amp;C128,Produtos!B:B&amp;Produtos!C:C,0)),""))</f>
        <v/>
      </c>
      <c r="F128" s="19" t="str">
        <f t="shared" si="1"/>
        <v/>
      </c>
    </row>
    <row r="129">
      <c r="B129" s="19"/>
      <c r="C129" s="19"/>
      <c r="E129" s="19" t="str">
        <f t="array" ref="E129">IF(B129="","",IFERROR(INDEX(Produtos!E:E,MATCH(B129&amp;C129,Produtos!B:B&amp;Produtos!C:C,0)),""))</f>
        <v/>
      </c>
      <c r="F129" s="19" t="str">
        <f t="shared" si="1"/>
        <v/>
      </c>
    </row>
    <row r="130">
      <c r="B130" s="19"/>
      <c r="C130" s="19"/>
      <c r="E130" s="19" t="str">
        <f t="array" ref="E130">IF(B130="","",IFERROR(INDEX(Produtos!E:E,MATCH(B130&amp;C130,Produtos!B:B&amp;Produtos!C:C,0)),""))</f>
        <v/>
      </c>
      <c r="F130" s="19" t="str">
        <f t="shared" si="1"/>
        <v/>
      </c>
    </row>
    <row r="131">
      <c r="B131" s="19"/>
      <c r="C131" s="19"/>
      <c r="E131" s="19" t="str">
        <f t="array" ref="E131">IF(B131="","",IFERROR(INDEX(Produtos!E:E,MATCH(B131&amp;C131,Produtos!B:B&amp;Produtos!C:C,0)),""))</f>
        <v/>
      </c>
      <c r="F131" s="19" t="str">
        <f t="shared" si="1"/>
        <v/>
      </c>
    </row>
    <row r="132">
      <c r="B132" s="19"/>
      <c r="C132" s="19"/>
      <c r="E132" s="19" t="str">
        <f t="array" ref="E132">IF(B132="","",IFERROR(INDEX(Produtos!E:E,MATCH(B132&amp;C132,Produtos!B:B&amp;Produtos!C:C,0)),""))</f>
        <v/>
      </c>
      <c r="F132" s="19" t="str">
        <f t="shared" si="1"/>
        <v/>
      </c>
    </row>
    <row r="133">
      <c r="B133" s="19"/>
      <c r="C133" s="19"/>
      <c r="E133" s="19" t="str">
        <f t="array" ref="E133">IF(B133="","",IFERROR(INDEX(Produtos!E:E,MATCH(B133&amp;C133,Produtos!B:B&amp;Produtos!C:C,0)),""))</f>
        <v/>
      </c>
      <c r="F133" s="19" t="str">
        <f t="shared" si="1"/>
        <v/>
      </c>
    </row>
    <row r="134">
      <c r="B134" s="19"/>
      <c r="C134" s="19"/>
      <c r="E134" s="19" t="str">
        <f t="array" ref="E134">IF(B134="","",IFERROR(INDEX(Produtos!E:E,MATCH(B134&amp;C134,Produtos!B:B&amp;Produtos!C:C,0)),""))</f>
        <v/>
      </c>
      <c r="F134" s="19" t="str">
        <f t="shared" si="1"/>
        <v/>
      </c>
    </row>
    <row r="135">
      <c r="B135" s="19"/>
      <c r="C135" s="19"/>
      <c r="E135" s="19" t="str">
        <f t="array" ref="E135">IF(B135="","",IFERROR(INDEX(Produtos!E:E,MATCH(B135&amp;C135,Produtos!B:B&amp;Produtos!C:C,0)),""))</f>
        <v/>
      </c>
      <c r="F135" s="19" t="str">
        <f t="shared" si="1"/>
        <v/>
      </c>
    </row>
    <row r="136">
      <c r="B136" s="19"/>
      <c r="C136" s="19"/>
      <c r="E136" s="19" t="str">
        <f t="array" ref="E136">IF(B136="","",IFERROR(INDEX(Produtos!E:E,MATCH(B136&amp;C136,Produtos!B:B&amp;Produtos!C:C,0)),""))</f>
        <v/>
      </c>
      <c r="F136" s="19" t="str">
        <f t="shared" si="1"/>
        <v/>
      </c>
    </row>
    <row r="137">
      <c r="B137" s="19"/>
      <c r="C137" s="19"/>
      <c r="E137" s="19" t="str">
        <f t="array" ref="E137">IF(B137="","",IFERROR(INDEX(Produtos!E:E,MATCH(B137&amp;C137,Produtos!B:B&amp;Produtos!C:C,0)),""))</f>
        <v/>
      </c>
      <c r="F137" s="19" t="str">
        <f t="shared" si="1"/>
        <v/>
      </c>
    </row>
    <row r="138">
      <c r="B138" s="19"/>
      <c r="C138" s="19"/>
      <c r="E138" s="19" t="str">
        <f t="array" ref="E138">IF(B138="","",IFERROR(INDEX(Produtos!E:E,MATCH(B138&amp;C138,Produtos!B:B&amp;Produtos!C:C,0)),""))</f>
        <v/>
      </c>
      <c r="F138" s="19" t="str">
        <f t="shared" si="1"/>
        <v/>
      </c>
    </row>
    <row r="139">
      <c r="B139" s="19"/>
      <c r="C139" s="19"/>
      <c r="E139" s="19" t="str">
        <f t="array" ref="E139">IF(B139="","",IFERROR(INDEX(Produtos!E:E,MATCH(B139&amp;C139,Produtos!B:B&amp;Produtos!C:C,0)),""))</f>
        <v/>
      </c>
      <c r="F139" s="19" t="str">
        <f t="shared" si="1"/>
        <v/>
      </c>
    </row>
    <row r="140">
      <c r="B140" s="19"/>
      <c r="C140" s="19"/>
      <c r="E140" s="19" t="str">
        <f t="array" ref="E140">IF(B140="","",IFERROR(INDEX(Produtos!E:E,MATCH(B140&amp;C140,Produtos!B:B&amp;Produtos!C:C,0)),""))</f>
        <v/>
      </c>
      <c r="F140" s="19" t="str">
        <f t="shared" si="1"/>
        <v/>
      </c>
    </row>
    <row r="141">
      <c r="B141" s="19"/>
      <c r="C141" s="19"/>
      <c r="E141" s="19" t="str">
        <f t="array" ref="E141">IF(B141="","",IFERROR(INDEX(Produtos!E:E,MATCH(B141&amp;C141,Produtos!B:B&amp;Produtos!C:C,0)),""))</f>
        <v/>
      </c>
      <c r="F141" s="19" t="str">
        <f t="shared" si="1"/>
        <v/>
      </c>
    </row>
    <row r="142">
      <c r="B142" s="19"/>
      <c r="C142" s="19"/>
      <c r="E142" s="19" t="str">
        <f t="array" ref="E142">IF(B142="","",IFERROR(INDEX(Produtos!E:E,MATCH(B142&amp;C142,Produtos!B:B&amp;Produtos!C:C,0)),""))</f>
        <v/>
      </c>
      <c r="F142" s="19" t="str">
        <f t="shared" si="1"/>
        <v/>
      </c>
    </row>
    <row r="143">
      <c r="B143" s="19"/>
      <c r="C143" s="19"/>
      <c r="E143" s="19" t="str">
        <f t="array" ref="E143">IF(B143="","",IFERROR(INDEX(Produtos!E:E,MATCH(B143&amp;C143,Produtos!B:B&amp;Produtos!C:C,0)),""))</f>
        <v/>
      </c>
      <c r="F143" s="19" t="str">
        <f t="shared" si="1"/>
        <v/>
      </c>
    </row>
    <row r="144">
      <c r="B144" s="19"/>
      <c r="C144" s="19"/>
      <c r="E144" s="19" t="str">
        <f t="array" ref="E144">IF(B144="","",IFERROR(INDEX(Produtos!E:E,MATCH(B144&amp;C144,Produtos!B:B&amp;Produtos!C:C,0)),""))</f>
        <v/>
      </c>
      <c r="F144" s="19" t="str">
        <f t="shared" si="1"/>
        <v/>
      </c>
    </row>
    <row r="145">
      <c r="B145" s="19"/>
      <c r="C145" s="19"/>
      <c r="E145" s="19" t="str">
        <f t="array" ref="E145">IF(B145="","",IFERROR(INDEX(Produtos!E:E,MATCH(B145&amp;C145,Produtos!B:B&amp;Produtos!C:C,0)),""))</f>
        <v/>
      </c>
      <c r="F145" s="19" t="str">
        <f t="shared" si="1"/>
        <v/>
      </c>
    </row>
    <row r="146">
      <c r="B146" s="19"/>
      <c r="C146" s="19"/>
      <c r="E146" s="19" t="str">
        <f t="array" ref="E146">IF(B146="","",IFERROR(INDEX(Produtos!E:E,MATCH(B146&amp;C146,Produtos!B:B&amp;Produtos!C:C,0)),""))</f>
        <v/>
      </c>
      <c r="F146" s="19" t="str">
        <f t="shared" si="1"/>
        <v/>
      </c>
    </row>
    <row r="147">
      <c r="B147" s="19"/>
      <c r="C147" s="19"/>
      <c r="E147" s="19" t="str">
        <f t="array" ref="E147">IF(B147="","",IFERROR(INDEX(Produtos!E:E,MATCH(B147&amp;C147,Produtos!B:B&amp;Produtos!C:C,0)),""))</f>
        <v/>
      </c>
      <c r="F147" s="19" t="str">
        <f t="shared" si="1"/>
        <v/>
      </c>
    </row>
    <row r="148">
      <c r="B148" s="19"/>
      <c r="C148" s="19"/>
      <c r="E148" s="19" t="str">
        <f t="array" ref="E148">IF(B148="","",IFERROR(INDEX(Produtos!E:E,MATCH(B148&amp;C148,Produtos!B:B&amp;Produtos!C:C,0)),""))</f>
        <v/>
      </c>
      <c r="F148" s="19" t="str">
        <f t="shared" si="1"/>
        <v/>
      </c>
    </row>
    <row r="149">
      <c r="B149" s="19"/>
      <c r="C149" s="19"/>
      <c r="E149" s="19" t="str">
        <f t="array" ref="E149">IF(B149="","",IFERROR(INDEX(Produtos!E:E,MATCH(B149&amp;C149,Produtos!B:B&amp;Produtos!C:C,0)),""))</f>
        <v/>
      </c>
      <c r="F149" s="19" t="str">
        <f t="shared" si="1"/>
        <v/>
      </c>
    </row>
    <row r="150">
      <c r="B150" s="19"/>
      <c r="C150" s="19"/>
      <c r="E150" s="19" t="str">
        <f t="array" ref="E150">IF(B150="","",IFERROR(INDEX(Produtos!E:E,MATCH(B150&amp;C150,Produtos!B:B&amp;Produtos!C:C,0)),""))</f>
        <v/>
      </c>
      <c r="F150" s="19" t="str">
        <f t="shared" si="1"/>
        <v/>
      </c>
    </row>
    <row r="151">
      <c r="B151" s="19"/>
      <c r="C151" s="19"/>
      <c r="E151" s="19" t="str">
        <f t="array" ref="E151">IF(B151="","",IFERROR(INDEX(Produtos!E:E,MATCH(B151&amp;C151,Produtos!B:B&amp;Produtos!C:C,0)),""))</f>
        <v/>
      </c>
      <c r="F151" s="19" t="str">
        <f t="shared" si="1"/>
        <v/>
      </c>
    </row>
    <row r="152">
      <c r="B152" s="19"/>
      <c r="C152" s="19"/>
      <c r="E152" s="19" t="str">
        <f t="array" ref="E152">IF(B152="","",IFERROR(INDEX(Produtos!E:E,MATCH(B152&amp;C152,Produtos!B:B&amp;Produtos!C:C,0)),""))</f>
        <v/>
      </c>
      <c r="F152" s="19" t="str">
        <f t="shared" si="1"/>
        <v/>
      </c>
    </row>
    <row r="153">
      <c r="B153" s="19"/>
      <c r="C153" s="19"/>
      <c r="E153" s="19" t="str">
        <f t="array" ref="E153">IF(B153="","",IFERROR(INDEX(Produtos!E:E,MATCH(B153&amp;C153,Produtos!B:B&amp;Produtos!C:C,0)),""))</f>
        <v/>
      </c>
      <c r="F153" s="19" t="str">
        <f t="shared" si="1"/>
        <v/>
      </c>
    </row>
    <row r="154">
      <c r="B154" s="19"/>
      <c r="C154" s="19"/>
      <c r="E154" s="19" t="str">
        <f t="array" ref="E154">IF(B154="","",IFERROR(INDEX(Produtos!E:E,MATCH(B154&amp;C154,Produtos!B:B&amp;Produtos!C:C,0)),""))</f>
        <v/>
      </c>
      <c r="F154" s="19" t="str">
        <f t="shared" si="1"/>
        <v/>
      </c>
    </row>
    <row r="155">
      <c r="B155" s="19"/>
      <c r="C155" s="19"/>
      <c r="E155" s="19" t="str">
        <f t="array" ref="E155">IF(B155="","",IFERROR(INDEX(Produtos!E:E,MATCH(B155&amp;C155,Produtos!B:B&amp;Produtos!C:C,0)),""))</f>
        <v/>
      </c>
      <c r="F155" s="19" t="str">
        <f t="shared" si="1"/>
        <v/>
      </c>
    </row>
    <row r="156">
      <c r="B156" s="19"/>
      <c r="C156" s="19"/>
      <c r="E156" s="19" t="str">
        <f t="array" ref="E156">IF(B156="","",IFERROR(INDEX(Produtos!E:E,MATCH(B156&amp;C156,Produtos!B:B&amp;Produtos!C:C,0)),""))</f>
        <v/>
      </c>
      <c r="F156" s="19" t="str">
        <f t="shared" si="1"/>
        <v/>
      </c>
    </row>
    <row r="157">
      <c r="B157" s="19"/>
      <c r="C157" s="19"/>
      <c r="E157" s="19" t="str">
        <f t="array" ref="E157">IF(B157="","",IFERROR(INDEX(Produtos!E:E,MATCH(B157&amp;C157,Produtos!B:B&amp;Produtos!C:C,0)),""))</f>
        <v/>
      </c>
      <c r="F157" s="19" t="str">
        <f t="shared" si="1"/>
        <v/>
      </c>
    </row>
    <row r="158">
      <c r="B158" s="19"/>
      <c r="C158" s="19"/>
      <c r="E158" s="19" t="str">
        <f t="array" ref="E158">IF(B158="","",IFERROR(INDEX(Produtos!E:E,MATCH(B158&amp;C158,Produtos!B:B&amp;Produtos!C:C,0)),""))</f>
        <v/>
      </c>
      <c r="F158" s="19" t="str">
        <f t="shared" si="1"/>
        <v/>
      </c>
    </row>
    <row r="159">
      <c r="B159" s="19"/>
      <c r="C159" s="19"/>
      <c r="E159" s="19" t="str">
        <f t="array" ref="E159">IF(B159="","",IFERROR(INDEX(Produtos!E:E,MATCH(B159&amp;C159,Produtos!B:B&amp;Produtos!C:C,0)),""))</f>
        <v/>
      </c>
      <c r="F159" s="19" t="str">
        <f t="shared" si="1"/>
        <v/>
      </c>
    </row>
    <row r="160">
      <c r="B160" s="19"/>
      <c r="C160" s="19"/>
      <c r="E160" s="19" t="str">
        <f t="array" ref="E160">IF(B160="","",IFERROR(INDEX(Produtos!E:E,MATCH(B160&amp;C160,Produtos!B:B&amp;Produtos!C:C,0)),""))</f>
        <v/>
      </c>
      <c r="F160" s="19" t="str">
        <f t="shared" si="1"/>
        <v/>
      </c>
    </row>
    <row r="161">
      <c r="B161" s="19"/>
      <c r="C161" s="19"/>
      <c r="E161" s="19" t="str">
        <f t="array" ref="E161">IF(B161="","",IFERROR(INDEX(Produtos!E:E,MATCH(B161&amp;C161,Produtos!B:B&amp;Produtos!C:C,0)),""))</f>
        <v/>
      </c>
      <c r="F161" s="19" t="str">
        <f t="shared" si="1"/>
        <v/>
      </c>
    </row>
    <row r="162">
      <c r="B162" s="19"/>
      <c r="C162" s="19"/>
      <c r="E162" s="19" t="str">
        <f t="array" ref="E162">IF(B162="","",IFERROR(INDEX(Produtos!E:E,MATCH(B162&amp;C162,Produtos!B:B&amp;Produtos!C:C,0)),""))</f>
        <v/>
      </c>
      <c r="F162" s="19" t="str">
        <f t="shared" si="1"/>
        <v/>
      </c>
    </row>
    <row r="163">
      <c r="B163" s="19"/>
      <c r="C163" s="19"/>
      <c r="E163" s="19" t="str">
        <f t="array" ref="E163">IF(B163="","",IFERROR(INDEX(Produtos!E:E,MATCH(B163&amp;C163,Produtos!B:B&amp;Produtos!C:C,0)),""))</f>
        <v/>
      </c>
      <c r="F163" s="19" t="str">
        <f t="shared" si="1"/>
        <v/>
      </c>
    </row>
    <row r="164">
      <c r="B164" s="19"/>
      <c r="C164" s="19"/>
      <c r="E164" s="19" t="str">
        <f t="array" ref="E164">IF(B164="","",IFERROR(INDEX(Produtos!E:E,MATCH(B164&amp;C164,Produtos!B:B&amp;Produtos!C:C,0)),""))</f>
        <v/>
      </c>
      <c r="F164" s="19" t="str">
        <f t="shared" si="1"/>
        <v/>
      </c>
    </row>
    <row r="165">
      <c r="B165" s="19"/>
      <c r="C165" s="19"/>
      <c r="E165" s="19" t="str">
        <f t="array" ref="E165">IF(B165="","",IFERROR(INDEX(Produtos!E:E,MATCH(B165&amp;C165,Produtos!B:B&amp;Produtos!C:C,0)),""))</f>
        <v/>
      </c>
      <c r="F165" s="19" t="str">
        <f t="shared" si="1"/>
        <v/>
      </c>
    </row>
    <row r="166">
      <c r="B166" s="19"/>
      <c r="C166" s="19"/>
      <c r="E166" s="19" t="str">
        <f t="array" ref="E166">IF(B166="","",IFERROR(INDEX(Produtos!E:E,MATCH(B166&amp;C166,Produtos!B:B&amp;Produtos!C:C,0)),""))</f>
        <v/>
      </c>
      <c r="F166" s="19" t="str">
        <f t="shared" si="1"/>
        <v/>
      </c>
    </row>
    <row r="167">
      <c r="B167" s="19"/>
      <c r="C167" s="19"/>
      <c r="E167" s="19" t="str">
        <f t="array" ref="E167">IF(B167="","",IFERROR(INDEX(Produtos!E:E,MATCH(B167&amp;C167,Produtos!B:B&amp;Produtos!C:C,0)),""))</f>
        <v/>
      </c>
      <c r="F167" s="19" t="str">
        <f t="shared" si="1"/>
        <v/>
      </c>
    </row>
    <row r="168">
      <c r="B168" s="19"/>
      <c r="C168" s="19"/>
      <c r="E168" s="19" t="str">
        <f t="array" ref="E168">IF(B168="","",IFERROR(INDEX(Produtos!E:E,MATCH(B168&amp;C168,Produtos!B:B&amp;Produtos!C:C,0)),""))</f>
        <v/>
      </c>
      <c r="F168" s="19" t="str">
        <f t="shared" si="1"/>
        <v/>
      </c>
    </row>
    <row r="169">
      <c r="B169" s="19"/>
      <c r="C169" s="19"/>
      <c r="E169" s="19" t="str">
        <f t="array" ref="E169">IF(B169="","",IFERROR(INDEX(Produtos!E:E,MATCH(B169&amp;C169,Produtos!B:B&amp;Produtos!C:C,0)),""))</f>
        <v/>
      </c>
      <c r="F169" s="19" t="str">
        <f t="shared" si="1"/>
        <v/>
      </c>
    </row>
    <row r="170">
      <c r="B170" s="19"/>
      <c r="C170" s="19"/>
      <c r="E170" s="19" t="str">
        <f t="array" ref="E170">IF(B170="","",IFERROR(INDEX(Produtos!E:E,MATCH(B170&amp;C170,Produtos!B:B&amp;Produtos!C:C,0)),""))</f>
        <v/>
      </c>
      <c r="F170" s="19" t="str">
        <f t="shared" si="1"/>
        <v/>
      </c>
    </row>
    <row r="171">
      <c r="B171" s="19"/>
      <c r="C171" s="19"/>
      <c r="E171" s="19" t="str">
        <f t="array" ref="E171">IF(B171="","",IFERROR(INDEX(Produtos!E:E,MATCH(B171&amp;C171,Produtos!B:B&amp;Produtos!C:C,0)),""))</f>
        <v/>
      </c>
      <c r="F171" s="19" t="str">
        <f t="shared" si="1"/>
        <v/>
      </c>
    </row>
    <row r="172">
      <c r="B172" s="19"/>
      <c r="C172" s="19"/>
      <c r="E172" s="19" t="str">
        <f t="array" ref="E172">IF(B172="","",IFERROR(INDEX(Produtos!E:E,MATCH(B172&amp;C172,Produtos!B:B&amp;Produtos!C:C,0)),""))</f>
        <v/>
      </c>
      <c r="F172" s="19" t="str">
        <f t="shared" si="1"/>
        <v/>
      </c>
    </row>
    <row r="173">
      <c r="B173" s="19"/>
      <c r="C173" s="19"/>
      <c r="E173" s="19" t="str">
        <f t="array" ref="E173">IF(B173="","",IFERROR(INDEX(Produtos!E:E,MATCH(B173&amp;C173,Produtos!B:B&amp;Produtos!C:C,0)),""))</f>
        <v/>
      </c>
      <c r="F173" s="19" t="str">
        <f t="shared" si="1"/>
        <v/>
      </c>
    </row>
    <row r="174">
      <c r="B174" s="19"/>
      <c r="C174" s="19"/>
      <c r="E174" s="19" t="str">
        <f t="array" ref="E174">IF(B174="","",IFERROR(INDEX(Produtos!E:E,MATCH(B174&amp;C174,Produtos!B:B&amp;Produtos!C:C,0)),""))</f>
        <v/>
      </c>
      <c r="F174" s="19" t="str">
        <f t="shared" si="1"/>
        <v/>
      </c>
    </row>
    <row r="175">
      <c r="B175" s="19"/>
      <c r="C175" s="19"/>
      <c r="E175" s="19" t="str">
        <f t="array" ref="E175">IF(B175="","",IFERROR(INDEX(Produtos!E:E,MATCH(B175&amp;C175,Produtos!B:B&amp;Produtos!C:C,0)),""))</f>
        <v/>
      </c>
      <c r="F175" s="19" t="str">
        <f t="shared" si="1"/>
        <v/>
      </c>
    </row>
    <row r="176">
      <c r="B176" s="19"/>
      <c r="C176" s="19"/>
      <c r="E176" s="19" t="str">
        <f t="array" ref="E176">IF(B176="","",IFERROR(INDEX(Produtos!E:E,MATCH(B176&amp;C176,Produtos!B:B&amp;Produtos!C:C,0)),""))</f>
        <v/>
      </c>
      <c r="F176" s="19" t="str">
        <f t="shared" si="1"/>
        <v/>
      </c>
    </row>
    <row r="177">
      <c r="B177" s="19"/>
      <c r="C177" s="19"/>
      <c r="E177" s="19" t="str">
        <f t="array" ref="E177">IF(B177="","",IFERROR(INDEX(Produtos!E:E,MATCH(B177&amp;C177,Produtos!B:B&amp;Produtos!C:C,0)),""))</f>
        <v/>
      </c>
      <c r="F177" s="19" t="str">
        <f t="shared" si="1"/>
        <v/>
      </c>
    </row>
    <row r="178">
      <c r="B178" s="19"/>
      <c r="C178" s="19"/>
      <c r="E178" s="19" t="str">
        <f t="array" ref="E178">IF(B178="","",IFERROR(INDEX(Produtos!E:E,MATCH(B178&amp;C178,Produtos!B:B&amp;Produtos!C:C,0)),""))</f>
        <v/>
      </c>
      <c r="F178" s="19" t="str">
        <f t="shared" si="1"/>
        <v/>
      </c>
    </row>
    <row r="179">
      <c r="B179" s="19"/>
      <c r="C179" s="19"/>
      <c r="E179" s="19" t="str">
        <f t="array" ref="E179">IF(B179="","",IFERROR(INDEX(Produtos!E:E,MATCH(B179&amp;C179,Produtos!B:B&amp;Produtos!C:C,0)),""))</f>
        <v/>
      </c>
      <c r="F179" s="19" t="str">
        <f t="shared" si="1"/>
        <v/>
      </c>
    </row>
    <row r="180">
      <c r="B180" s="19"/>
      <c r="C180" s="19"/>
      <c r="E180" s="19" t="str">
        <f t="array" ref="E180">IF(B180="","",IFERROR(INDEX(Produtos!E:E,MATCH(B180&amp;C180,Produtos!B:B&amp;Produtos!C:C,0)),""))</f>
        <v/>
      </c>
      <c r="F180" s="19" t="str">
        <f t="shared" si="1"/>
        <v/>
      </c>
    </row>
    <row r="181">
      <c r="B181" s="19"/>
      <c r="C181" s="19"/>
      <c r="E181" s="19" t="str">
        <f t="array" ref="E181">IF(B181="","",IFERROR(INDEX(Produtos!E:E,MATCH(B181&amp;C181,Produtos!B:B&amp;Produtos!C:C,0)),""))</f>
        <v/>
      </c>
      <c r="F181" s="19" t="str">
        <f t="shared" si="1"/>
        <v/>
      </c>
    </row>
    <row r="182">
      <c r="B182" s="19"/>
      <c r="C182" s="19"/>
      <c r="E182" s="19" t="str">
        <f t="array" ref="E182">IF(B182="","",IFERROR(INDEX(Produtos!E:E,MATCH(B182&amp;C182,Produtos!B:B&amp;Produtos!C:C,0)),""))</f>
        <v/>
      </c>
      <c r="F182" s="19" t="str">
        <f t="shared" si="1"/>
        <v/>
      </c>
    </row>
    <row r="183">
      <c r="B183" s="19"/>
      <c r="C183" s="19"/>
      <c r="E183" s="19" t="str">
        <f t="array" ref="E183">IF(B183="","",IFERROR(INDEX(Produtos!E:E,MATCH(B183&amp;C183,Produtos!B:B&amp;Produtos!C:C,0)),""))</f>
        <v/>
      </c>
      <c r="F183" s="19" t="str">
        <f t="shared" si="1"/>
        <v/>
      </c>
    </row>
    <row r="184">
      <c r="B184" s="19"/>
      <c r="C184" s="19"/>
      <c r="E184" s="19" t="str">
        <f t="array" ref="E184">IF(B184="","",IFERROR(INDEX(Produtos!E:E,MATCH(B184&amp;C184,Produtos!B:B&amp;Produtos!C:C,0)),""))</f>
        <v/>
      </c>
      <c r="F184" s="19" t="str">
        <f t="shared" si="1"/>
        <v/>
      </c>
    </row>
    <row r="185">
      <c r="B185" s="19"/>
      <c r="C185" s="19"/>
      <c r="E185" s="19" t="str">
        <f t="array" ref="E185">IF(B185="","",IFERROR(INDEX(Produtos!E:E,MATCH(B185&amp;C185,Produtos!B:B&amp;Produtos!C:C,0)),""))</f>
        <v/>
      </c>
      <c r="F185" s="19" t="str">
        <f t="shared" si="1"/>
        <v/>
      </c>
    </row>
    <row r="186">
      <c r="B186" s="19"/>
      <c r="C186" s="19"/>
      <c r="E186" s="19" t="str">
        <f t="array" ref="E186">IF(B186="","",IFERROR(INDEX(Produtos!E:E,MATCH(B186&amp;C186,Produtos!B:B&amp;Produtos!C:C,0)),""))</f>
        <v/>
      </c>
      <c r="F186" s="19" t="str">
        <f t="shared" si="1"/>
        <v/>
      </c>
    </row>
    <row r="187">
      <c r="B187" s="19"/>
      <c r="C187" s="19"/>
      <c r="E187" s="19" t="str">
        <f t="array" ref="E187">IF(B187="","",IFERROR(INDEX(Produtos!E:E,MATCH(B187&amp;C187,Produtos!B:B&amp;Produtos!C:C,0)),""))</f>
        <v/>
      </c>
      <c r="F187" s="19" t="str">
        <f t="shared" si="1"/>
        <v/>
      </c>
    </row>
    <row r="188">
      <c r="B188" s="19"/>
      <c r="C188" s="19"/>
      <c r="E188" s="19" t="str">
        <f t="array" ref="E188">IF(B188="","",IFERROR(INDEX(Produtos!E:E,MATCH(B188&amp;C188,Produtos!B:B&amp;Produtos!C:C,0)),""))</f>
        <v/>
      </c>
      <c r="F188" s="19" t="str">
        <f t="shared" si="1"/>
        <v/>
      </c>
    </row>
    <row r="189">
      <c r="B189" s="19"/>
      <c r="C189" s="19"/>
      <c r="E189" s="19" t="str">
        <f t="array" ref="E189">IF(B189="","",IFERROR(INDEX(Produtos!E:E,MATCH(B189&amp;C189,Produtos!B:B&amp;Produtos!C:C,0)),""))</f>
        <v/>
      </c>
      <c r="F189" s="19" t="str">
        <f t="shared" si="1"/>
        <v/>
      </c>
    </row>
    <row r="190">
      <c r="B190" s="19"/>
      <c r="C190" s="19"/>
      <c r="E190" s="19" t="str">
        <f t="array" ref="E190">IF(B190="","",IFERROR(INDEX(Produtos!E:E,MATCH(B190&amp;C190,Produtos!B:B&amp;Produtos!C:C,0)),""))</f>
        <v/>
      </c>
      <c r="F190" s="19" t="str">
        <f t="shared" si="1"/>
        <v/>
      </c>
    </row>
    <row r="191">
      <c r="B191" s="19"/>
      <c r="C191" s="19"/>
      <c r="E191" s="19" t="str">
        <f t="array" ref="E191">IF(B191="","",IFERROR(INDEX(Produtos!E:E,MATCH(B191&amp;C191,Produtos!B:B&amp;Produtos!C:C,0)),""))</f>
        <v/>
      </c>
      <c r="F191" s="19" t="str">
        <f t="shared" si="1"/>
        <v/>
      </c>
    </row>
    <row r="192">
      <c r="B192" s="19"/>
      <c r="C192" s="19"/>
      <c r="E192" s="19" t="str">
        <f t="array" ref="E192">IF(B192="","",IFERROR(INDEX(Produtos!E:E,MATCH(B192&amp;C192,Produtos!B:B&amp;Produtos!C:C,0)),""))</f>
        <v/>
      </c>
      <c r="F192" s="19" t="str">
        <f t="shared" si="1"/>
        <v/>
      </c>
    </row>
    <row r="193">
      <c r="B193" s="19"/>
      <c r="C193" s="19"/>
      <c r="E193" s="19" t="str">
        <f t="array" ref="E193">IF(B193="","",IFERROR(INDEX(Produtos!E:E,MATCH(B193&amp;C193,Produtos!B:B&amp;Produtos!C:C,0)),""))</f>
        <v/>
      </c>
      <c r="F193" s="19" t="str">
        <f t="shared" si="1"/>
        <v/>
      </c>
    </row>
    <row r="194">
      <c r="B194" s="19"/>
      <c r="C194" s="19"/>
      <c r="E194" s="19" t="str">
        <f t="array" ref="E194">IF(B194="","",IFERROR(INDEX(Produtos!E:E,MATCH(B194&amp;C194,Produtos!B:B&amp;Produtos!C:C,0)),""))</f>
        <v/>
      </c>
      <c r="F194" s="19" t="str">
        <f t="shared" si="1"/>
        <v/>
      </c>
    </row>
    <row r="195">
      <c r="B195" s="19"/>
      <c r="C195" s="19"/>
      <c r="E195" s="19" t="str">
        <f t="array" ref="E195">IF(B195="","",IFERROR(INDEX(Produtos!E:E,MATCH(B195&amp;C195,Produtos!B:B&amp;Produtos!C:C,0)),""))</f>
        <v/>
      </c>
      <c r="F195" s="19" t="str">
        <f t="shared" si="1"/>
        <v/>
      </c>
    </row>
    <row r="196">
      <c r="B196" s="19"/>
      <c r="C196" s="19"/>
      <c r="E196" s="19" t="str">
        <f t="array" ref="E196">IF(B196="","",IFERROR(INDEX(Produtos!E:E,MATCH(B196&amp;C196,Produtos!B:B&amp;Produtos!C:C,0)),""))</f>
        <v/>
      </c>
      <c r="F196" s="19" t="str">
        <f t="shared" si="1"/>
        <v/>
      </c>
    </row>
    <row r="197">
      <c r="B197" s="19"/>
      <c r="C197" s="19"/>
      <c r="E197" s="19" t="str">
        <f t="array" ref="E197">IF(B197="","",IFERROR(INDEX(Produtos!E:E,MATCH(B197&amp;C197,Produtos!B:B&amp;Produtos!C:C,0)),""))</f>
        <v/>
      </c>
      <c r="F197" s="19" t="str">
        <f t="shared" si="1"/>
        <v/>
      </c>
    </row>
    <row r="198">
      <c r="B198" s="19"/>
      <c r="C198" s="19"/>
      <c r="E198" s="19" t="str">
        <f t="array" ref="E198">IF(B198="","",IFERROR(INDEX(Produtos!E:E,MATCH(B198&amp;C198,Produtos!B:B&amp;Produtos!C:C,0)),""))</f>
        <v/>
      </c>
      <c r="F198" s="19" t="str">
        <f t="shared" si="1"/>
        <v/>
      </c>
    </row>
    <row r="199">
      <c r="B199" s="19"/>
      <c r="C199" s="19"/>
      <c r="E199" s="19" t="str">
        <f t="array" ref="E199">IF(B199="","",IFERROR(INDEX(Produtos!E:E,MATCH(B199&amp;C199,Produtos!B:B&amp;Produtos!C:C,0)),""))</f>
        <v/>
      </c>
      <c r="F199" s="19" t="str">
        <f t="shared" si="1"/>
        <v/>
      </c>
    </row>
    <row r="200">
      <c r="B200" s="19"/>
      <c r="C200" s="19"/>
      <c r="E200" s="19" t="str">
        <f t="array" ref="E200">IF(B200="","",IFERROR(INDEX(Produtos!E:E,MATCH(B200&amp;C200,Produtos!B:B&amp;Produtos!C:C,0)),""))</f>
        <v/>
      </c>
      <c r="F200" s="19" t="str">
        <f t="shared" si="1"/>
        <v/>
      </c>
    </row>
    <row r="201">
      <c r="B201" s="19"/>
      <c r="C201" s="19"/>
      <c r="E201" s="19" t="str">
        <f t="array" ref="E201">IF(B201="","",IFERROR(INDEX(Produtos!E:E,MATCH(B201&amp;C201,Produtos!B:B&amp;Produtos!C:C,0)),""))</f>
        <v/>
      </c>
      <c r="F201" s="19" t="str">
        <f t="shared" si="1"/>
        <v/>
      </c>
    </row>
    <row r="202">
      <c r="B202" s="19"/>
      <c r="C202" s="19"/>
      <c r="E202" s="19" t="str">
        <f t="array" ref="E202">IF(B202="","",IFERROR(INDEX(Produtos!E:E,MATCH(B202&amp;C202,Produtos!B:B&amp;Produtos!C:C,0)),""))</f>
        <v/>
      </c>
      <c r="F202" s="19" t="str">
        <f t="shared" si="1"/>
        <v/>
      </c>
    </row>
    <row r="203">
      <c r="B203" s="19"/>
      <c r="C203" s="19"/>
      <c r="E203" s="19" t="str">
        <f t="array" ref="E203">IF(B203="","",IFERROR(INDEX(Produtos!E:E,MATCH(B203&amp;C203,Produtos!B:B&amp;Produtos!C:C,0)),""))</f>
        <v/>
      </c>
      <c r="F203" s="19" t="str">
        <f t="shared" si="1"/>
        <v/>
      </c>
    </row>
    <row r="204">
      <c r="B204" s="19"/>
      <c r="C204" s="19"/>
      <c r="E204" s="19" t="str">
        <f t="array" ref="E204">IF(B204="","",IFERROR(INDEX(Produtos!E:E,MATCH(B204&amp;C204,Produtos!B:B&amp;Produtos!C:C,0)),""))</f>
        <v/>
      </c>
      <c r="F204" s="19" t="str">
        <f t="shared" si="1"/>
        <v/>
      </c>
    </row>
    <row r="205">
      <c r="B205" s="19"/>
      <c r="C205" s="19"/>
      <c r="E205" s="19" t="str">
        <f t="array" ref="E205">IF(B205="","",IFERROR(INDEX(Produtos!E:E,MATCH(B205&amp;C205,Produtos!B:B&amp;Produtos!C:C,0)),""))</f>
        <v/>
      </c>
      <c r="F205" s="19" t="str">
        <f t="shared" si="1"/>
        <v/>
      </c>
    </row>
    <row r="206">
      <c r="B206" s="19"/>
      <c r="C206" s="19"/>
      <c r="E206" s="19" t="str">
        <f t="array" ref="E206">IF(B206="","",IFERROR(INDEX(Produtos!E:E,MATCH(B206&amp;C206,Produtos!B:B&amp;Produtos!C:C,0)),""))</f>
        <v/>
      </c>
      <c r="F206" s="19" t="str">
        <f t="shared" si="1"/>
        <v/>
      </c>
    </row>
    <row r="207">
      <c r="B207" s="19"/>
      <c r="C207" s="19"/>
      <c r="E207" s="19" t="str">
        <f t="array" ref="E207">IF(B207="","",IFERROR(INDEX(Produtos!E:E,MATCH(B207&amp;C207,Produtos!B:B&amp;Produtos!C:C,0)),""))</f>
        <v/>
      </c>
      <c r="F207" s="19" t="str">
        <f t="shared" si="1"/>
        <v/>
      </c>
    </row>
    <row r="208">
      <c r="B208" s="19"/>
      <c r="C208" s="19"/>
      <c r="E208" s="19" t="str">
        <f t="array" ref="E208">IF(B208="","",IFERROR(INDEX(Produtos!E:E,MATCH(B208&amp;C208,Produtos!B:B&amp;Produtos!C:C,0)),""))</f>
        <v/>
      </c>
      <c r="F208" s="19" t="str">
        <f t="shared" si="1"/>
        <v/>
      </c>
    </row>
    <row r="209">
      <c r="B209" s="19"/>
      <c r="C209" s="19"/>
      <c r="E209" s="19" t="str">
        <f t="array" ref="E209">IF(B209="","",IFERROR(INDEX(Produtos!E:E,MATCH(B209&amp;C209,Produtos!B:B&amp;Produtos!C:C,0)),""))</f>
        <v/>
      </c>
      <c r="F209" s="19" t="str">
        <f t="shared" si="1"/>
        <v/>
      </c>
    </row>
    <row r="210">
      <c r="B210" s="19"/>
      <c r="C210" s="19"/>
      <c r="E210" s="19" t="str">
        <f t="array" ref="E210">IF(B210="","",IFERROR(INDEX(Produtos!E:E,MATCH(B210&amp;C210,Produtos!B:B&amp;Produtos!C:C,0)),""))</f>
        <v/>
      </c>
      <c r="F210" s="19" t="str">
        <f t="shared" si="1"/>
        <v/>
      </c>
    </row>
    <row r="211">
      <c r="B211" s="19"/>
      <c r="C211" s="19"/>
      <c r="E211" s="19" t="str">
        <f t="array" ref="E211">IF(B211="","",IFERROR(INDEX(Produtos!E:E,MATCH(B211&amp;C211,Produtos!B:B&amp;Produtos!C:C,0)),""))</f>
        <v/>
      </c>
      <c r="F211" s="19" t="str">
        <f t="shared" si="1"/>
        <v/>
      </c>
    </row>
    <row r="212">
      <c r="B212" s="19"/>
      <c r="C212" s="19"/>
      <c r="E212" s="19" t="str">
        <f t="array" ref="E212">IF(B212="","",IFERROR(INDEX(Produtos!E:E,MATCH(B212&amp;C212,Produtos!B:B&amp;Produtos!C:C,0)),""))</f>
        <v/>
      </c>
      <c r="F212" s="19" t="str">
        <f t="shared" si="1"/>
        <v/>
      </c>
    </row>
    <row r="213">
      <c r="B213" s="19"/>
      <c r="C213" s="19"/>
      <c r="E213" s="19" t="str">
        <f t="array" ref="E213">IF(B213="","",IFERROR(INDEX(Produtos!E:E,MATCH(B213&amp;C213,Produtos!B:B&amp;Produtos!C:C,0)),""))</f>
        <v/>
      </c>
      <c r="F213" s="19" t="str">
        <f t="shared" si="1"/>
        <v/>
      </c>
    </row>
    <row r="214">
      <c r="B214" s="19"/>
      <c r="C214" s="19"/>
      <c r="E214" s="19" t="str">
        <f t="array" ref="E214">IF(B214="","",IFERROR(INDEX(Produtos!E:E,MATCH(B214&amp;C214,Produtos!B:B&amp;Produtos!C:C,0)),""))</f>
        <v/>
      </c>
      <c r="F214" s="19" t="str">
        <f t="shared" si="1"/>
        <v/>
      </c>
    </row>
    <row r="215">
      <c r="B215" s="19"/>
      <c r="C215" s="19"/>
      <c r="E215" s="19" t="str">
        <f t="array" ref="E215">IF(B215="","",IFERROR(INDEX(Produtos!E:E,MATCH(B215&amp;C215,Produtos!B:B&amp;Produtos!C:C,0)),""))</f>
        <v/>
      </c>
      <c r="F215" s="19" t="str">
        <f t="shared" si="1"/>
        <v/>
      </c>
    </row>
    <row r="216">
      <c r="B216" s="19"/>
      <c r="C216" s="19"/>
      <c r="E216" s="19" t="str">
        <f t="array" ref="E216">IF(B216="","",IFERROR(INDEX(Produtos!E:E,MATCH(B216&amp;C216,Produtos!B:B&amp;Produtos!C:C,0)),""))</f>
        <v/>
      </c>
      <c r="F216" s="19" t="str">
        <f t="shared" si="1"/>
        <v/>
      </c>
    </row>
    <row r="217">
      <c r="B217" s="19"/>
      <c r="C217" s="19"/>
      <c r="E217" s="19" t="str">
        <f t="array" ref="E217">IF(B217="","",IFERROR(INDEX(Produtos!E:E,MATCH(B217&amp;C217,Produtos!B:B&amp;Produtos!C:C,0)),""))</f>
        <v/>
      </c>
      <c r="F217" s="19" t="str">
        <f t="shared" si="1"/>
        <v/>
      </c>
    </row>
    <row r="218">
      <c r="B218" s="19"/>
      <c r="C218" s="19"/>
      <c r="E218" s="19" t="str">
        <f t="array" ref="E218">IF(B218="","",IFERROR(INDEX(Produtos!E:E,MATCH(B218&amp;C218,Produtos!B:B&amp;Produtos!C:C,0)),""))</f>
        <v/>
      </c>
      <c r="F218" s="19" t="str">
        <f t="shared" si="1"/>
        <v/>
      </c>
    </row>
    <row r="219">
      <c r="B219" s="19"/>
      <c r="C219" s="19"/>
      <c r="E219" s="19" t="str">
        <f t="array" ref="E219">IF(B219="","",IFERROR(INDEX(Produtos!E:E,MATCH(B219&amp;C219,Produtos!B:B&amp;Produtos!C:C,0)),""))</f>
        <v/>
      </c>
      <c r="F219" s="19" t="str">
        <f t="shared" si="1"/>
        <v/>
      </c>
    </row>
    <row r="220">
      <c r="B220" s="19"/>
      <c r="C220" s="19"/>
      <c r="E220" s="19" t="str">
        <f t="array" ref="E220">IF(B220="","",IFERROR(INDEX(Produtos!E:E,MATCH(B220&amp;C220,Produtos!B:B&amp;Produtos!C:C,0)),""))</f>
        <v/>
      </c>
      <c r="F220" s="19" t="str">
        <f t="shared" si="1"/>
        <v/>
      </c>
    </row>
    <row r="221">
      <c r="B221" s="19"/>
      <c r="C221" s="19"/>
      <c r="E221" s="19" t="str">
        <f t="array" ref="E221">IF(B221="","",IFERROR(INDEX(Produtos!E:E,MATCH(B221&amp;C221,Produtos!B:B&amp;Produtos!C:C,0)),""))</f>
        <v/>
      </c>
      <c r="F221" s="19" t="str">
        <f t="shared" si="1"/>
        <v/>
      </c>
    </row>
    <row r="222">
      <c r="B222" s="19"/>
      <c r="C222" s="19"/>
      <c r="E222" s="19" t="str">
        <f t="array" ref="E222">IF(B222="","",IFERROR(INDEX(Produtos!E:E,MATCH(B222&amp;C222,Produtos!B:B&amp;Produtos!C:C,0)),""))</f>
        <v/>
      </c>
      <c r="F222" s="19" t="str">
        <f t="shared" si="1"/>
        <v/>
      </c>
    </row>
    <row r="223">
      <c r="B223" s="19"/>
      <c r="C223" s="19"/>
      <c r="E223" s="19" t="str">
        <f t="array" ref="E223">IF(B223="","",IFERROR(INDEX(Produtos!E:E,MATCH(B223&amp;C223,Produtos!B:B&amp;Produtos!C:C,0)),""))</f>
        <v/>
      </c>
      <c r="F223" s="19" t="str">
        <f t="shared" si="1"/>
        <v/>
      </c>
    </row>
    <row r="224">
      <c r="B224" s="19"/>
      <c r="C224" s="19"/>
      <c r="E224" s="19" t="str">
        <f t="array" ref="E224">IF(B224="","",IFERROR(INDEX(Produtos!E:E,MATCH(B224&amp;C224,Produtos!B:B&amp;Produtos!C:C,0)),""))</f>
        <v/>
      </c>
      <c r="F224" s="19" t="str">
        <f t="shared" si="1"/>
        <v/>
      </c>
    </row>
    <row r="225">
      <c r="B225" s="19"/>
      <c r="C225" s="19"/>
      <c r="E225" s="19" t="str">
        <f t="array" ref="E225">IF(B225="","",IFERROR(INDEX(Produtos!E:E,MATCH(B225&amp;C225,Produtos!B:B&amp;Produtos!C:C,0)),""))</f>
        <v/>
      </c>
      <c r="F225" s="19" t="str">
        <f t="shared" si="1"/>
        <v/>
      </c>
    </row>
    <row r="226">
      <c r="B226" s="19"/>
      <c r="C226" s="19"/>
      <c r="E226" s="19" t="str">
        <f t="array" ref="E226">IF(B226="","",IFERROR(INDEX(Produtos!E:E,MATCH(B226&amp;C226,Produtos!B:B&amp;Produtos!C:C,0)),""))</f>
        <v/>
      </c>
      <c r="F226" s="19" t="str">
        <f t="shared" si="1"/>
        <v/>
      </c>
    </row>
    <row r="227">
      <c r="B227" s="19"/>
      <c r="C227" s="19"/>
      <c r="E227" s="19" t="str">
        <f t="array" ref="E227">IF(B227="","",IFERROR(INDEX(Produtos!E:E,MATCH(B227&amp;C227,Produtos!B:B&amp;Produtos!C:C,0)),""))</f>
        <v/>
      </c>
      <c r="F227" s="19" t="str">
        <f t="shared" si="1"/>
        <v/>
      </c>
    </row>
    <row r="228">
      <c r="B228" s="19"/>
      <c r="C228" s="19"/>
      <c r="E228" s="19" t="str">
        <f t="array" ref="E228">IF(B228="","",IFERROR(INDEX(Produtos!E:E,MATCH(B228&amp;C228,Produtos!B:B&amp;Produtos!C:C,0)),""))</f>
        <v/>
      </c>
      <c r="F228" s="19" t="str">
        <f t="shared" si="1"/>
        <v/>
      </c>
    </row>
    <row r="229">
      <c r="B229" s="19"/>
      <c r="C229" s="19"/>
      <c r="E229" s="19" t="str">
        <f t="array" ref="E229">IF(B229="","",IFERROR(INDEX(Produtos!E:E,MATCH(B229&amp;C229,Produtos!B:B&amp;Produtos!C:C,0)),""))</f>
        <v/>
      </c>
      <c r="F229" s="19" t="str">
        <f t="shared" si="1"/>
        <v/>
      </c>
    </row>
    <row r="230">
      <c r="B230" s="19"/>
      <c r="C230" s="19"/>
      <c r="E230" s="19" t="str">
        <f t="array" ref="E230">IF(B230="","",IFERROR(INDEX(Produtos!E:E,MATCH(B230&amp;C230,Produtos!B:B&amp;Produtos!C:C,0)),""))</f>
        <v/>
      </c>
      <c r="F230" s="19" t="str">
        <f t="shared" si="1"/>
        <v/>
      </c>
    </row>
    <row r="231">
      <c r="B231" s="19"/>
      <c r="C231" s="19"/>
      <c r="E231" s="19" t="str">
        <f t="array" ref="E231">IF(B231="","",IFERROR(INDEX(Produtos!E:E,MATCH(B231&amp;C231,Produtos!B:B&amp;Produtos!C:C,0)),""))</f>
        <v/>
      </c>
      <c r="F231" s="19" t="str">
        <f t="shared" si="1"/>
        <v/>
      </c>
    </row>
    <row r="232">
      <c r="B232" s="19"/>
      <c r="C232" s="19"/>
      <c r="E232" s="19" t="str">
        <f t="array" ref="E232">IF(B232="","",IFERROR(INDEX(Produtos!E:E,MATCH(B232&amp;C232,Produtos!B:B&amp;Produtos!C:C,0)),""))</f>
        <v/>
      </c>
      <c r="F232" s="19" t="str">
        <f t="shared" si="1"/>
        <v/>
      </c>
    </row>
    <row r="233">
      <c r="B233" s="19"/>
      <c r="C233" s="19"/>
      <c r="E233" s="19" t="str">
        <f t="array" ref="E233">IF(B233="","",IFERROR(INDEX(Produtos!E:E,MATCH(B233&amp;C233,Produtos!B:B&amp;Produtos!C:C,0)),""))</f>
        <v/>
      </c>
      <c r="F233" s="19" t="str">
        <f t="shared" si="1"/>
        <v/>
      </c>
    </row>
    <row r="234">
      <c r="B234" s="19"/>
      <c r="C234" s="19"/>
      <c r="E234" s="19" t="str">
        <f t="array" ref="E234">IF(B234="","",IFERROR(INDEX(Produtos!E:E,MATCH(B234&amp;C234,Produtos!B:B&amp;Produtos!C:C,0)),""))</f>
        <v/>
      </c>
      <c r="F234" s="19" t="str">
        <f t="shared" si="1"/>
        <v/>
      </c>
    </row>
    <row r="235">
      <c r="B235" s="19"/>
      <c r="C235" s="19"/>
      <c r="E235" s="19" t="str">
        <f t="array" ref="E235">IF(B235="","",IFERROR(INDEX(Produtos!E:E,MATCH(B235&amp;C235,Produtos!B:B&amp;Produtos!C:C,0)),""))</f>
        <v/>
      </c>
      <c r="F235" s="19" t="str">
        <f t="shared" si="1"/>
        <v/>
      </c>
    </row>
    <row r="236">
      <c r="B236" s="19"/>
      <c r="C236" s="19"/>
      <c r="E236" s="19" t="str">
        <f t="array" ref="E236">IF(B236="","",IFERROR(INDEX(Produtos!E:E,MATCH(B236&amp;C236,Produtos!B:B&amp;Produtos!C:C,0)),""))</f>
        <v/>
      </c>
      <c r="F236" s="19" t="str">
        <f t="shared" si="1"/>
        <v/>
      </c>
    </row>
    <row r="237">
      <c r="B237" s="19"/>
      <c r="C237" s="19"/>
      <c r="E237" s="19" t="str">
        <f t="array" ref="E237">IF(B237="","",IFERROR(INDEX(Produtos!E:E,MATCH(B237&amp;C237,Produtos!B:B&amp;Produtos!C:C,0)),""))</f>
        <v/>
      </c>
      <c r="F237" s="19" t="str">
        <f t="shared" si="1"/>
        <v/>
      </c>
    </row>
    <row r="238">
      <c r="B238" s="19"/>
      <c r="C238" s="19"/>
      <c r="E238" s="19" t="str">
        <f t="array" ref="E238">IF(B238="","",IFERROR(INDEX(Produtos!E:E,MATCH(B238&amp;C238,Produtos!B:B&amp;Produtos!C:C,0)),""))</f>
        <v/>
      </c>
      <c r="F238" s="19" t="str">
        <f t="shared" si="1"/>
        <v/>
      </c>
    </row>
    <row r="239">
      <c r="B239" s="19"/>
      <c r="C239" s="19"/>
      <c r="E239" s="19" t="str">
        <f t="array" ref="E239">IF(B239="","",IFERROR(INDEX(Produtos!E:E,MATCH(B239&amp;C239,Produtos!B:B&amp;Produtos!C:C,0)),""))</f>
        <v/>
      </c>
      <c r="F239" s="19" t="str">
        <f t="shared" si="1"/>
        <v/>
      </c>
    </row>
    <row r="240">
      <c r="B240" s="19"/>
      <c r="C240" s="19"/>
      <c r="E240" s="19" t="str">
        <f t="array" ref="E240">IF(B240="","",IFERROR(INDEX(Produtos!E:E,MATCH(B240&amp;C240,Produtos!B:B&amp;Produtos!C:C,0)),""))</f>
        <v/>
      </c>
      <c r="F240" s="19" t="str">
        <f t="shared" si="1"/>
        <v/>
      </c>
    </row>
    <row r="241">
      <c r="B241" s="19"/>
      <c r="C241" s="19"/>
      <c r="E241" s="19" t="str">
        <f t="array" ref="E241">IF(B241="","",IFERROR(INDEX(Produtos!E:E,MATCH(B241&amp;C241,Produtos!B:B&amp;Produtos!C:C,0)),""))</f>
        <v/>
      </c>
      <c r="F241" s="19" t="str">
        <f t="shared" si="1"/>
        <v/>
      </c>
    </row>
    <row r="242">
      <c r="B242" s="19"/>
      <c r="C242" s="19"/>
      <c r="E242" s="19" t="str">
        <f t="array" ref="E242">IF(B242="","",IFERROR(INDEX(Produtos!E:E,MATCH(B242&amp;C242,Produtos!B:B&amp;Produtos!C:C,0)),""))</f>
        <v/>
      </c>
      <c r="F242" s="19" t="str">
        <f t="shared" si="1"/>
        <v/>
      </c>
    </row>
    <row r="243">
      <c r="B243" s="19"/>
      <c r="C243" s="19"/>
      <c r="E243" s="19" t="str">
        <f t="array" ref="E243">IF(B243="","",IFERROR(INDEX(Produtos!E:E,MATCH(B243&amp;C243,Produtos!B:B&amp;Produtos!C:C,0)),""))</f>
        <v/>
      </c>
      <c r="F243" s="19" t="str">
        <f t="shared" si="1"/>
        <v/>
      </c>
    </row>
    <row r="244">
      <c r="B244" s="19"/>
      <c r="C244" s="19"/>
      <c r="E244" s="19" t="str">
        <f t="array" ref="E244">IF(B244="","",IFERROR(INDEX(Produtos!E:E,MATCH(B244&amp;C244,Produtos!B:B&amp;Produtos!C:C,0)),""))</f>
        <v/>
      </c>
      <c r="F244" s="19" t="str">
        <f t="shared" si="1"/>
        <v/>
      </c>
    </row>
    <row r="245">
      <c r="B245" s="19"/>
      <c r="C245" s="19"/>
      <c r="E245" s="19" t="str">
        <f t="array" ref="E245">IF(B245="","",IFERROR(INDEX(Produtos!E:E,MATCH(B245&amp;C245,Produtos!B:B&amp;Produtos!C:C,0)),""))</f>
        <v/>
      </c>
      <c r="F245" s="19" t="str">
        <f t="shared" si="1"/>
        <v/>
      </c>
    </row>
    <row r="246">
      <c r="B246" s="19"/>
      <c r="C246" s="19"/>
      <c r="E246" s="19" t="str">
        <f t="array" ref="E246">IF(B246="","",IFERROR(INDEX(Produtos!E:E,MATCH(B246&amp;C246,Produtos!B:B&amp;Produtos!C:C,0)),""))</f>
        <v/>
      </c>
      <c r="F246" s="19" t="str">
        <f t="shared" si="1"/>
        <v/>
      </c>
    </row>
    <row r="247">
      <c r="B247" s="19"/>
      <c r="C247" s="19"/>
      <c r="E247" s="19" t="str">
        <f t="array" ref="E247">IF(B247="","",IFERROR(INDEX(Produtos!E:E,MATCH(B247&amp;C247,Produtos!B:B&amp;Produtos!C:C,0)),""))</f>
        <v/>
      </c>
      <c r="F247" s="19" t="str">
        <f t="shared" si="1"/>
        <v/>
      </c>
    </row>
    <row r="248">
      <c r="B248" s="19"/>
      <c r="C248" s="19"/>
      <c r="E248" s="19" t="str">
        <f t="array" ref="E248">IF(B248="","",IFERROR(INDEX(Produtos!E:E,MATCH(B248&amp;C248,Produtos!B:B&amp;Produtos!C:C,0)),""))</f>
        <v/>
      </c>
      <c r="F248" s="19" t="str">
        <f t="shared" si="1"/>
        <v/>
      </c>
    </row>
    <row r="249">
      <c r="B249" s="19"/>
      <c r="C249" s="19"/>
      <c r="E249" s="19" t="str">
        <f t="array" ref="E249">IF(B249="","",IFERROR(INDEX(Produtos!E:E,MATCH(B249&amp;C249,Produtos!B:B&amp;Produtos!C:C,0)),""))</f>
        <v/>
      </c>
      <c r="F249" s="19" t="str">
        <f t="shared" si="1"/>
        <v/>
      </c>
    </row>
    <row r="250">
      <c r="B250" s="19"/>
      <c r="C250" s="19"/>
      <c r="E250" s="19" t="str">
        <f t="array" ref="E250">IF(B250="","",IFERROR(INDEX(Produtos!E:E,MATCH(B250&amp;C250,Produtos!B:B&amp;Produtos!C:C,0)),""))</f>
        <v/>
      </c>
      <c r="F250" s="19" t="str">
        <f t="shared" si="1"/>
        <v/>
      </c>
    </row>
    <row r="251">
      <c r="B251" s="19"/>
      <c r="C251" s="19"/>
      <c r="E251" s="19" t="str">
        <f t="array" ref="E251">IF(B251="","",IFERROR(INDEX(Produtos!E:E,MATCH(B251&amp;C251,Produtos!B:B&amp;Produtos!C:C,0)),""))</f>
        <v/>
      </c>
      <c r="F251" s="19" t="str">
        <f t="shared" si="1"/>
        <v/>
      </c>
    </row>
    <row r="252">
      <c r="B252" s="19"/>
      <c r="C252" s="19"/>
      <c r="E252" s="19" t="str">
        <f t="array" ref="E252">IF(B252="","",IFERROR(INDEX(Produtos!E:E,MATCH(B252&amp;C252,Produtos!B:B&amp;Produtos!C:C,0)),""))</f>
        <v/>
      </c>
      <c r="F252" s="19" t="str">
        <f t="shared" si="1"/>
        <v/>
      </c>
    </row>
    <row r="253">
      <c r="B253" s="19"/>
      <c r="C253" s="19"/>
      <c r="E253" s="19" t="str">
        <f t="array" ref="E253">IF(B253="","",IFERROR(INDEX(Produtos!E:E,MATCH(B253&amp;C253,Produtos!B:B&amp;Produtos!C:C,0)),""))</f>
        <v/>
      </c>
      <c r="F253" s="19" t="str">
        <f t="shared" si="1"/>
        <v/>
      </c>
    </row>
    <row r="254">
      <c r="B254" s="19"/>
      <c r="C254" s="19"/>
      <c r="E254" s="19" t="str">
        <f t="array" ref="E254">IF(B254="","",IFERROR(INDEX(Produtos!E:E,MATCH(B254&amp;C254,Produtos!B:B&amp;Produtos!C:C,0)),""))</f>
        <v/>
      </c>
      <c r="F254" s="19" t="str">
        <f t="shared" si="1"/>
        <v/>
      </c>
    </row>
    <row r="255">
      <c r="B255" s="19"/>
      <c r="C255" s="19"/>
      <c r="E255" s="19" t="str">
        <f t="array" ref="E255">IF(B255="","",IFERROR(INDEX(Produtos!E:E,MATCH(B255&amp;C255,Produtos!B:B&amp;Produtos!C:C,0)),""))</f>
        <v/>
      </c>
      <c r="F255" s="19" t="str">
        <f t="shared" si="1"/>
        <v/>
      </c>
    </row>
    <row r="256">
      <c r="B256" s="19"/>
      <c r="C256" s="19"/>
      <c r="E256" s="19" t="str">
        <f t="array" ref="E256">IF(B256="","",IFERROR(INDEX(Produtos!E:E,MATCH(B256&amp;C256,Produtos!B:B&amp;Produtos!C:C,0)),""))</f>
        <v/>
      </c>
      <c r="F256" s="19" t="str">
        <f t="shared" si="1"/>
        <v/>
      </c>
    </row>
    <row r="257">
      <c r="B257" s="19"/>
      <c r="C257" s="19"/>
      <c r="E257" s="19" t="str">
        <f t="array" ref="E257">IF(B257="","",IFERROR(INDEX(Produtos!E:E,MATCH(B257&amp;C257,Produtos!B:B&amp;Produtos!C:C,0)),""))</f>
        <v/>
      </c>
      <c r="F257" s="19" t="str">
        <f t="shared" si="1"/>
        <v/>
      </c>
    </row>
    <row r="258">
      <c r="B258" s="19"/>
      <c r="C258" s="19"/>
      <c r="E258" s="19" t="str">
        <f t="array" ref="E258">IF(B258="","",IFERROR(INDEX(Produtos!E:E,MATCH(B258&amp;C258,Produtos!B:B&amp;Produtos!C:C,0)),""))</f>
        <v/>
      </c>
      <c r="F258" s="19" t="str">
        <f t="shared" si="1"/>
        <v/>
      </c>
    </row>
    <row r="259">
      <c r="B259" s="19"/>
      <c r="C259" s="19"/>
      <c r="E259" s="19" t="str">
        <f t="array" ref="E259">IF(B259="","",IFERROR(INDEX(Produtos!E:E,MATCH(B259&amp;C259,Produtos!B:B&amp;Produtos!C:C,0)),""))</f>
        <v/>
      </c>
      <c r="F259" s="19" t="str">
        <f t="shared" si="1"/>
        <v/>
      </c>
    </row>
    <row r="260">
      <c r="B260" s="19"/>
      <c r="C260" s="19"/>
      <c r="E260" s="19" t="str">
        <f t="array" ref="E260">IF(B260="","",IFERROR(INDEX(Produtos!E:E,MATCH(B260&amp;C260,Produtos!B:B&amp;Produtos!C:C,0)),""))</f>
        <v/>
      </c>
      <c r="F260" s="19" t="str">
        <f t="shared" si="1"/>
        <v/>
      </c>
    </row>
    <row r="261">
      <c r="B261" s="19"/>
      <c r="C261" s="19"/>
      <c r="E261" s="19" t="str">
        <f t="array" ref="E261">IF(B261="","",IFERROR(INDEX(Produtos!E:E,MATCH(B261&amp;C261,Produtos!B:B&amp;Produtos!C:C,0)),""))</f>
        <v/>
      </c>
      <c r="F261" s="19" t="str">
        <f t="shared" si="1"/>
        <v/>
      </c>
    </row>
    <row r="262">
      <c r="B262" s="19"/>
      <c r="C262" s="19"/>
      <c r="E262" s="19" t="str">
        <f t="array" ref="E262">IF(B262="","",IFERROR(INDEX(Produtos!E:E,MATCH(B262&amp;C262,Produtos!B:B&amp;Produtos!C:C,0)),""))</f>
        <v/>
      </c>
      <c r="F262" s="19" t="str">
        <f t="shared" si="1"/>
        <v/>
      </c>
    </row>
    <row r="263">
      <c r="B263" s="19"/>
      <c r="C263" s="19"/>
      <c r="E263" s="19" t="str">
        <f t="array" ref="E263">IF(B263="","",IFERROR(INDEX(Produtos!E:E,MATCH(B263&amp;C263,Produtos!B:B&amp;Produtos!C:C,0)),""))</f>
        <v/>
      </c>
      <c r="F263" s="19" t="str">
        <f t="shared" si="1"/>
        <v/>
      </c>
    </row>
    <row r="264">
      <c r="B264" s="19"/>
      <c r="C264" s="19"/>
      <c r="E264" s="19" t="str">
        <f t="array" ref="E264">IF(B264="","",IFERROR(INDEX(Produtos!E:E,MATCH(B264&amp;C264,Produtos!B:B&amp;Produtos!C:C,0)),""))</f>
        <v/>
      </c>
      <c r="F264" s="19" t="str">
        <f t="shared" si="1"/>
        <v/>
      </c>
    </row>
    <row r="265">
      <c r="B265" s="19"/>
      <c r="C265" s="19"/>
      <c r="E265" s="19" t="str">
        <f t="array" ref="E265">IF(B265="","",IFERROR(INDEX(Produtos!E:E,MATCH(B265&amp;C265,Produtos!B:B&amp;Produtos!C:C,0)),""))</f>
        <v/>
      </c>
      <c r="F265" s="19" t="str">
        <f t="shared" si="1"/>
        <v/>
      </c>
    </row>
    <row r="266">
      <c r="B266" s="19"/>
      <c r="C266" s="19"/>
      <c r="E266" s="19" t="str">
        <f t="array" ref="E266">IF(B266="","",IFERROR(INDEX(Produtos!E:E,MATCH(B266&amp;C266,Produtos!B:B&amp;Produtos!C:C,0)),""))</f>
        <v/>
      </c>
      <c r="F266" s="19" t="str">
        <f t="shared" si="1"/>
        <v/>
      </c>
    </row>
    <row r="267">
      <c r="B267" s="19"/>
      <c r="C267" s="19"/>
      <c r="E267" s="19" t="str">
        <f t="array" ref="E267">IF(B267="","",IFERROR(INDEX(Produtos!E:E,MATCH(B267&amp;C267,Produtos!B:B&amp;Produtos!C:C,0)),""))</f>
        <v/>
      </c>
      <c r="F267" s="19" t="str">
        <f t="shared" si="1"/>
        <v/>
      </c>
    </row>
    <row r="268">
      <c r="B268" s="19"/>
      <c r="C268" s="19"/>
      <c r="E268" s="19" t="str">
        <f t="array" ref="E268">IF(B268="","",IFERROR(INDEX(Produtos!E:E,MATCH(B268&amp;C268,Produtos!B:B&amp;Produtos!C:C,0)),""))</f>
        <v/>
      </c>
      <c r="F268" s="19" t="str">
        <f t="shared" si="1"/>
        <v/>
      </c>
    </row>
    <row r="269">
      <c r="B269" s="19"/>
      <c r="C269" s="19"/>
      <c r="E269" s="19" t="str">
        <f t="array" ref="E269">IF(B269="","",IFERROR(INDEX(Produtos!E:E,MATCH(B269&amp;C269,Produtos!B:B&amp;Produtos!C:C,0)),""))</f>
        <v/>
      </c>
      <c r="F269" s="19" t="str">
        <f t="shared" si="1"/>
        <v/>
      </c>
    </row>
    <row r="270">
      <c r="B270" s="19"/>
      <c r="C270" s="19"/>
      <c r="E270" s="19" t="str">
        <f t="array" ref="E270">IF(B270="","",IFERROR(INDEX(Produtos!E:E,MATCH(B270&amp;C270,Produtos!B:B&amp;Produtos!C:C,0)),""))</f>
        <v/>
      </c>
      <c r="F270" s="19" t="str">
        <f t="shared" si="1"/>
        <v/>
      </c>
    </row>
    <row r="271">
      <c r="B271" s="19"/>
      <c r="C271" s="19"/>
      <c r="E271" s="19" t="str">
        <f t="array" ref="E271">IF(B271="","",IFERROR(INDEX(Produtos!E:E,MATCH(B271&amp;C271,Produtos!B:B&amp;Produtos!C:C,0)),""))</f>
        <v/>
      </c>
      <c r="F271" s="19" t="str">
        <f t="shared" si="1"/>
        <v/>
      </c>
    </row>
    <row r="272">
      <c r="B272" s="19"/>
      <c r="C272" s="19"/>
      <c r="E272" s="19" t="str">
        <f t="array" ref="E272">IF(B272="","",IFERROR(INDEX(Produtos!E:E,MATCH(B272&amp;C272,Produtos!B:B&amp;Produtos!C:C,0)),""))</f>
        <v/>
      </c>
      <c r="F272" s="19" t="str">
        <f t="shared" si="1"/>
        <v/>
      </c>
    </row>
    <row r="273">
      <c r="B273" s="19"/>
      <c r="C273" s="19"/>
      <c r="E273" s="19" t="str">
        <f t="array" ref="E273">IF(B273="","",IFERROR(INDEX(Produtos!E:E,MATCH(B273&amp;C273,Produtos!B:B&amp;Produtos!C:C,0)),""))</f>
        <v/>
      </c>
      <c r="F273" s="19" t="str">
        <f t="shared" si="1"/>
        <v/>
      </c>
    </row>
    <row r="274">
      <c r="B274" s="19"/>
      <c r="C274" s="19"/>
      <c r="E274" s="19" t="str">
        <f t="array" ref="E274">IF(B274="","",IFERROR(INDEX(Produtos!E:E,MATCH(B274&amp;C274,Produtos!B:B&amp;Produtos!C:C,0)),""))</f>
        <v/>
      </c>
      <c r="F274" s="19" t="str">
        <f t="shared" si="1"/>
        <v/>
      </c>
    </row>
    <row r="275">
      <c r="B275" s="19"/>
      <c r="C275" s="19"/>
      <c r="E275" s="19" t="str">
        <f t="array" ref="E275">IF(B275="","",IFERROR(INDEX(Produtos!E:E,MATCH(B275&amp;C275,Produtos!B:B&amp;Produtos!C:C,0)),""))</f>
        <v/>
      </c>
      <c r="F275" s="19" t="str">
        <f t="shared" si="1"/>
        <v/>
      </c>
    </row>
    <row r="276">
      <c r="B276" s="19"/>
      <c r="C276" s="19"/>
      <c r="E276" s="19" t="str">
        <f t="array" ref="E276">IF(B276="","",IFERROR(INDEX(Produtos!E:E,MATCH(B276&amp;C276,Produtos!B:B&amp;Produtos!C:C,0)),""))</f>
        <v/>
      </c>
      <c r="F276" s="19" t="str">
        <f t="shared" si="1"/>
        <v/>
      </c>
    </row>
    <row r="277">
      <c r="B277" s="19"/>
      <c r="C277" s="19"/>
      <c r="E277" s="19" t="str">
        <f t="array" ref="E277">IF(B277="","",IFERROR(INDEX(Produtos!E:E,MATCH(B277&amp;C277,Produtos!B:B&amp;Produtos!C:C,0)),""))</f>
        <v/>
      </c>
      <c r="F277" s="19" t="str">
        <f t="shared" si="1"/>
        <v/>
      </c>
    </row>
    <row r="278">
      <c r="B278" s="19"/>
      <c r="C278" s="19"/>
      <c r="E278" s="19" t="str">
        <f t="array" ref="E278">IF(B278="","",IFERROR(INDEX(Produtos!E:E,MATCH(B278&amp;C278,Produtos!B:B&amp;Produtos!C:C,0)),""))</f>
        <v/>
      </c>
      <c r="F278" s="19" t="str">
        <f t="shared" si="1"/>
        <v/>
      </c>
    </row>
    <row r="279">
      <c r="B279" s="19"/>
      <c r="C279" s="19"/>
      <c r="E279" s="19" t="str">
        <f t="array" ref="E279">IF(B279="","",IFERROR(INDEX(Produtos!E:E,MATCH(B279&amp;C279,Produtos!B:B&amp;Produtos!C:C,0)),""))</f>
        <v/>
      </c>
      <c r="F279" s="19" t="str">
        <f t="shared" si="1"/>
        <v/>
      </c>
    </row>
    <row r="280">
      <c r="B280" s="19"/>
      <c r="C280" s="19"/>
      <c r="E280" s="19" t="str">
        <f t="array" ref="E280">IF(B280="","",IFERROR(INDEX(Produtos!E:E,MATCH(B280&amp;C280,Produtos!B:B&amp;Produtos!C:C,0)),""))</f>
        <v/>
      </c>
      <c r="F280" s="19" t="str">
        <f t="shared" si="1"/>
        <v/>
      </c>
    </row>
    <row r="281">
      <c r="B281" s="19"/>
      <c r="C281" s="19"/>
      <c r="E281" s="19" t="str">
        <f t="array" ref="E281">IF(B281="","",IFERROR(INDEX(Produtos!E:E,MATCH(B281&amp;C281,Produtos!B:B&amp;Produtos!C:C,0)),""))</f>
        <v/>
      </c>
      <c r="F281" s="19" t="str">
        <f t="shared" si="1"/>
        <v/>
      </c>
    </row>
    <row r="282">
      <c r="B282" s="19"/>
      <c r="C282" s="19"/>
      <c r="E282" s="19" t="str">
        <f t="array" ref="E282">IF(B282="","",IFERROR(INDEX(Produtos!E:E,MATCH(B282&amp;C282,Produtos!B:B&amp;Produtos!C:C,0)),""))</f>
        <v/>
      </c>
      <c r="F282" s="19" t="str">
        <f t="shared" si="1"/>
        <v/>
      </c>
    </row>
    <row r="283">
      <c r="B283" s="19"/>
      <c r="C283" s="19"/>
      <c r="E283" s="19" t="str">
        <f t="array" ref="E283">IF(B283="","",IFERROR(INDEX(Produtos!E:E,MATCH(B283&amp;C283,Produtos!B:B&amp;Produtos!C:C,0)),""))</f>
        <v/>
      </c>
      <c r="F283" s="19" t="str">
        <f t="shared" si="1"/>
        <v/>
      </c>
    </row>
    <row r="284">
      <c r="B284" s="19"/>
      <c r="C284" s="19"/>
      <c r="E284" s="19" t="str">
        <f t="array" ref="E284">IF(B284="","",IFERROR(INDEX(Produtos!E:E,MATCH(B284&amp;C284,Produtos!B:B&amp;Produtos!C:C,0)),""))</f>
        <v/>
      </c>
      <c r="F284" s="19" t="str">
        <f t="shared" si="1"/>
        <v/>
      </c>
    </row>
    <row r="285">
      <c r="B285" s="19"/>
      <c r="C285" s="19"/>
      <c r="E285" s="19" t="str">
        <f t="array" ref="E285">IF(B285="","",IFERROR(INDEX(Produtos!E:E,MATCH(B285&amp;C285,Produtos!B:B&amp;Produtos!C:C,0)),""))</f>
        <v/>
      </c>
      <c r="F285" s="19" t="str">
        <f t="shared" si="1"/>
        <v/>
      </c>
    </row>
    <row r="286">
      <c r="B286" s="19"/>
      <c r="C286" s="19"/>
      <c r="E286" s="19" t="str">
        <f t="array" ref="E286">IF(B286="","",IFERROR(INDEX(Produtos!E:E,MATCH(B286&amp;C286,Produtos!B:B&amp;Produtos!C:C,0)),""))</f>
        <v/>
      </c>
      <c r="F286" s="19" t="str">
        <f t="shared" si="1"/>
        <v/>
      </c>
    </row>
    <row r="287">
      <c r="B287" s="19"/>
      <c r="C287" s="19"/>
      <c r="E287" s="19" t="str">
        <f t="array" ref="E287">IF(B287="","",IFERROR(INDEX(Produtos!E:E,MATCH(B287&amp;C287,Produtos!B:B&amp;Produtos!C:C,0)),""))</f>
        <v/>
      </c>
      <c r="F287" s="19" t="str">
        <f t="shared" si="1"/>
        <v/>
      </c>
    </row>
    <row r="288">
      <c r="B288" s="19"/>
      <c r="C288" s="19"/>
      <c r="E288" s="19" t="str">
        <f t="array" ref="E288">IF(B288="","",IFERROR(INDEX(Produtos!E:E,MATCH(B288&amp;C288,Produtos!B:B&amp;Produtos!C:C,0)),""))</f>
        <v/>
      </c>
      <c r="F288" s="19" t="str">
        <f t="shared" si="1"/>
        <v/>
      </c>
    </row>
    <row r="289">
      <c r="B289" s="19"/>
      <c r="C289" s="19"/>
      <c r="E289" s="19" t="str">
        <f t="array" ref="E289">IF(B289="","",IFERROR(INDEX(Produtos!E:E,MATCH(B289&amp;C289,Produtos!B:B&amp;Produtos!C:C,0)),""))</f>
        <v/>
      </c>
      <c r="F289" s="19" t="str">
        <f t="shared" si="1"/>
        <v/>
      </c>
    </row>
    <row r="290">
      <c r="B290" s="19"/>
      <c r="C290" s="19"/>
      <c r="E290" s="19" t="str">
        <f t="array" ref="E290">IF(B290="","",IFERROR(INDEX(Produtos!E:E,MATCH(B290&amp;C290,Produtos!B:B&amp;Produtos!C:C,0)),""))</f>
        <v/>
      </c>
      <c r="F290" s="19" t="str">
        <f t="shared" si="1"/>
        <v/>
      </c>
    </row>
    <row r="291">
      <c r="B291" s="19"/>
      <c r="C291" s="19"/>
      <c r="E291" s="19" t="str">
        <f t="array" ref="E291">IF(B291="","",IFERROR(INDEX(Produtos!E:E,MATCH(B291&amp;C291,Produtos!B:B&amp;Produtos!C:C,0)),""))</f>
        <v/>
      </c>
      <c r="F291" s="19" t="str">
        <f t="shared" si="1"/>
        <v/>
      </c>
    </row>
    <row r="292">
      <c r="B292" s="19"/>
      <c r="C292" s="19"/>
      <c r="E292" s="19" t="str">
        <f t="array" ref="E292">IF(B292="","",IFERROR(INDEX(Produtos!E:E,MATCH(B292&amp;C292,Produtos!B:B&amp;Produtos!C:C,0)),""))</f>
        <v/>
      </c>
      <c r="F292" s="19" t="str">
        <f t="shared" si="1"/>
        <v/>
      </c>
    </row>
    <row r="293">
      <c r="B293" s="19"/>
      <c r="C293" s="19"/>
      <c r="E293" s="19" t="str">
        <f t="array" ref="E293">IF(B293="","",IFERROR(INDEX(Produtos!E:E,MATCH(B293&amp;C293,Produtos!B:B&amp;Produtos!C:C,0)),""))</f>
        <v/>
      </c>
      <c r="F293" s="19" t="str">
        <f t="shared" si="1"/>
        <v/>
      </c>
    </row>
    <row r="294">
      <c r="B294" s="19"/>
      <c r="C294" s="19"/>
      <c r="E294" s="19" t="str">
        <f t="array" ref="E294">IF(B294="","",IFERROR(INDEX(Produtos!E:E,MATCH(B294&amp;C294,Produtos!B:B&amp;Produtos!C:C,0)),""))</f>
        <v/>
      </c>
      <c r="F294" s="19" t="str">
        <f t="shared" si="1"/>
        <v/>
      </c>
    </row>
    <row r="295">
      <c r="B295" s="19"/>
      <c r="C295" s="19"/>
      <c r="E295" s="19" t="str">
        <f t="array" ref="E295">IF(B295="","",IFERROR(INDEX(Produtos!E:E,MATCH(B295&amp;C295,Produtos!B:B&amp;Produtos!C:C,0)),""))</f>
        <v/>
      </c>
      <c r="F295" s="19" t="str">
        <f t="shared" si="1"/>
        <v/>
      </c>
    </row>
    <row r="296">
      <c r="B296" s="19"/>
      <c r="C296" s="19"/>
      <c r="E296" s="19" t="str">
        <f t="array" ref="E296">IF(B296="","",IFERROR(INDEX(Produtos!E:E,MATCH(B296&amp;C296,Produtos!B:B&amp;Produtos!C:C,0)),""))</f>
        <v/>
      </c>
      <c r="F296" s="19" t="str">
        <f t="shared" si="1"/>
        <v/>
      </c>
    </row>
    <row r="297">
      <c r="B297" s="19"/>
      <c r="C297" s="19"/>
      <c r="E297" s="19" t="str">
        <f t="array" ref="E297">IF(B297="","",IFERROR(INDEX(Produtos!E:E,MATCH(B297&amp;C297,Produtos!B:B&amp;Produtos!C:C,0)),""))</f>
        <v/>
      </c>
      <c r="F297" s="19" t="str">
        <f t="shared" si="1"/>
        <v/>
      </c>
    </row>
    <row r="298">
      <c r="B298" s="19"/>
      <c r="C298" s="19"/>
      <c r="E298" s="19" t="str">
        <f t="array" ref="E298">IF(B298="","",IFERROR(INDEX(Produtos!E:E,MATCH(B298&amp;C298,Produtos!B:B&amp;Produtos!C:C,0)),""))</f>
        <v/>
      </c>
      <c r="F298" s="19" t="str">
        <f t="shared" si="1"/>
        <v/>
      </c>
    </row>
    <row r="299">
      <c r="B299" s="19"/>
      <c r="C299" s="19"/>
      <c r="E299" s="19" t="str">
        <f t="array" ref="E299">IF(B299="","",IFERROR(INDEX(Produtos!E:E,MATCH(B299&amp;C299,Produtos!B:B&amp;Produtos!C:C,0)),""))</f>
        <v/>
      </c>
      <c r="F299" s="19" t="str">
        <f t="shared" si="1"/>
        <v/>
      </c>
    </row>
    <row r="300">
      <c r="B300" s="19"/>
      <c r="C300" s="19"/>
      <c r="E300" s="19" t="str">
        <f t="array" ref="E300">IF(B300="","",IFERROR(INDEX(Produtos!E:E,MATCH(B300&amp;C300,Produtos!B:B&amp;Produtos!C:C,0)),""))</f>
        <v/>
      </c>
      <c r="F300" s="19" t="str">
        <f t="shared" si="1"/>
        <v/>
      </c>
    </row>
    <row r="301">
      <c r="B301" s="19"/>
      <c r="C301" s="19"/>
      <c r="E301" s="19" t="str">
        <f t="array" ref="E301">IF(B301="","",IFERROR(INDEX(Produtos!E:E,MATCH(B301&amp;C301,Produtos!B:B&amp;Produtos!C:C,0)),""))</f>
        <v/>
      </c>
      <c r="F301" s="19" t="str">
        <f t="shared" si="1"/>
        <v/>
      </c>
    </row>
    <row r="302">
      <c r="B302" s="19"/>
      <c r="C302" s="19"/>
      <c r="E302" s="19" t="str">
        <f t="array" ref="E302">IF(B302="","",IFERROR(INDEX(Produtos!E:E,MATCH(B302&amp;C302,Produtos!B:B&amp;Produtos!C:C,0)),""))</f>
        <v/>
      </c>
      <c r="F302" s="19" t="str">
        <f t="shared" si="1"/>
        <v/>
      </c>
    </row>
    <row r="303">
      <c r="B303" s="19"/>
      <c r="C303" s="19"/>
      <c r="E303" s="19" t="str">
        <f t="array" ref="E303">IF(B303="","",IFERROR(INDEX(Produtos!E:E,MATCH(B303&amp;C303,Produtos!B:B&amp;Produtos!C:C,0)),""))</f>
        <v/>
      </c>
      <c r="F303" s="19" t="str">
        <f t="shared" si="1"/>
        <v/>
      </c>
    </row>
    <row r="304">
      <c r="B304" s="19"/>
      <c r="C304" s="19"/>
      <c r="E304" s="19" t="str">
        <f t="array" ref="E304">IF(B304="","",IFERROR(INDEX(Produtos!E:E,MATCH(B304&amp;C304,Produtos!B:B&amp;Produtos!C:C,0)),""))</f>
        <v/>
      </c>
      <c r="F304" s="19" t="str">
        <f t="shared" si="1"/>
        <v/>
      </c>
    </row>
    <row r="305">
      <c r="B305" s="19"/>
      <c r="C305" s="19"/>
      <c r="E305" s="19" t="str">
        <f t="array" ref="E305">IF(B305="","",IFERROR(INDEX(Produtos!E:E,MATCH(B305&amp;C305,Produtos!B:B&amp;Produtos!C:C,0)),""))</f>
        <v/>
      </c>
      <c r="F305" s="19" t="str">
        <f t="shared" si="1"/>
        <v/>
      </c>
    </row>
    <row r="306">
      <c r="B306" s="19"/>
      <c r="C306" s="19"/>
      <c r="E306" s="19" t="str">
        <f t="array" ref="E306">IF(B306="","",IFERROR(INDEX(Produtos!E:E,MATCH(B306&amp;C306,Produtos!B:B&amp;Produtos!C:C,0)),""))</f>
        <v/>
      </c>
      <c r="F306" s="19" t="str">
        <f t="shared" si="1"/>
        <v/>
      </c>
    </row>
    <row r="307">
      <c r="B307" s="19"/>
      <c r="C307" s="19"/>
      <c r="E307" s="19" t="str">
        <f t="array" ref="E307">IF(B307="","",IFERROR(INDEX(Produtos!E:E,MATCH(B307&amp;C307,Produtos!B:B&amp;Produtos!C:C,0)),""))</f>
        <v/>
      </c>
      <c r="F307" s="19" t="str">
        <f t="shared" si="1"/>
        <v/>
      </c>
    </row>
    <row r="308">
      <c r="B308" s="19"/>
      <c r="C308" s="19"/>
      <c r="E308" s="19" t="str">
        <f t="array" ref="E308">IF(B308="","",IFERROR(INDEX(Produtos!E:E,MATCH(B308&amp;C308,Produtos!B:B&amp;Produtos!C:C,0)),""))</f>
        <v/>
      </c>
      <c r="F308" s="19" t="str">
        <f t="shared" si="1"/>
        <v/>
      </c>
    </row>
    <row r="309">
      <c r="B309" s="19"/>
      <c r="C309" s="19"/>
      <c r="E309" s="19" t="str">
        <f t="array" ref="E309">IF(B309="","",IFERROR(INDEX(Produtos!E:E,MATCH(B309&amp;C309,Produtos!B:B&amp;Produtos!C:C,0)),""))</f>
        <v/>
      </c>
      <c r="F309" s="19" t="str">
        <f t="shared" si="1"/>
        <v/>
      </c>
    </row>
    <row r="310">
      <c r="B310" s="19"/>
      <c r="C310" s="19"/>
      <c r="E310" s="19" t="str">
        <f t="array" ref="E310">IF(B310="","",IFERROR(INDEX(Produtos!E:E,MATCH(B310&amp;C310,Produtos!B:B&amp;Produtos!C:C,0)),""))</f>
        <v/>
      </c>
      <c r="F310" s="19" t="str">
        <f t="shared" si="1"/>
        <v/>
      </c>
    </row>
    <row r="311">
      <c r="B311" s="19"/>
      <c r="C311" s="19"/>
      <c r="E311" s="19" t="str">
        <f t="array" ref="E311">IF(B311="","",IFERROR(INDEX(Produtos!E:E,MATCH(B311&amp;C311,Produtos!B:B&amp;Produtos!C:C,0)),""))</f>
        <v/>
      </c>
      <c r="F311" s="19" t="str">
        <f t="shared" si="1"/>
        <v/>
      </c>
    </row>
    <row r="312">
      <c r="B312" s="19"/>
      <c r="C312" s="19"/>
      <c r="E312" s="19" t="str">
        <f t="array" ref="E312">IF(B312="","",IFERROR(INDEX(Produtos!E:E,MATCH(B312&amp;C312,Produtos!B:B&amp;Produtos!C:C,0)),""))</f>
        <v/>
      </c>
      <c r="F312" s="19" t="str">
        <f t="shared" si="1"/>
        <v/>
      </c>
    </row>
    <row r="313">
      <c r="B313" s="19"/>
      <c r="C313" s="19"/>
      <c r="E313" s="19" t="str">
        <f t="array" ref="E313">IF(B313="","",IFERROR(INDEX(Produtos!E:E,MATCH(B313&amp;C313,Produtos!B:B&amp;Produtos!C:C,0)),""))</f>
        <v/>
      </c>
      <c r="F313" s="19" t="str">
        <f t="shared" si="1"/>
        <v/>
      </c>
    </row>
    <row r="314">
      <c r="B314" s="19"/>
      <c r="C314" s="19"/>
      <c r="E314" s="19" t="str">
        <f t="array" ref="E314">IF(B314="","",IFERROR(INDEX(Produtos!E:E,MATCH(B314&amp;C314,Produtos!B:B&amp;Produtos!C:C,0)),""))</f>
        <v/>
      </c>
      <c r="F314" s="19" t="str">
        <f t="shared" si="1"/>
        <v/>
      </c>
    </row>
    <row r="315">
      <c r="B315" s="19"/>
      <c r="C315" s="19"/>
      <c r="E315" s="19" t="str">
        <f t="array" ref="E315">IF(B315="","",IFERROR(INDEX(Produtos!E:E,MATCH(B315&amp;C315,Produtos!B:B&amp;Produtos!C:C,0)),""))</f>
        <v/>
      </c>
      <c r="F315" s="19" t="str">
        <f t="shared" si="1"/>
        <v/>
      </c>
    </row>
    <row r="316">
      <c r="B316" s="19"/>
      <c r="C316" s="19"/>
      <c r="E316" s="19" t="str">
        <f t="array" ref="E316">IF(B316="","",IFERROR(INDEX(Produtos!E:E,MATCH(B316&amp;C316,Produtos!B:B&amp;Produtos!C:C,0)),""))</f>
        <v/>
      </c>
      <c r="F316" s="19" t="str">
        <f t="shared" si="1"/>
        <v/>
      </c>
    </row>
    <row r="317">
      <c r="B317" s="19"/>
      <c r="C317" s="19"/>
      <c r="E317" s="19" t="str">
        <f t="array" ref="E317">IF(B317="","",IFERROR(INDEX(Produtos!E:E,MATCH(B317&amp;C317,Produtos!B:B&amp;Produtos!C:C,0)),""))</f>
        <v/>
      </c>
      <c r="F317" s="19" t="str">
        <f t="shared" si="1"/>
        <v/>
      </c>
    </row>
    <row r="318">
      <c r="B318" s="19"/>
      <c r="C318" s="19"/>
      <c r="E318" s="19" t="str">
        <f t="array" ref="E318">IF(B318="","",IFERROR(INDEX(Produtos!E:E,MATCH(B318&amp;C318,Produtos!B:B&amp;Produtos!C:C,0)),""))</f>
        <v/>
      </c>
      <c r="F318" s="19" t="str">
        <f t="shared" si="1"/>
        <v/>
      </c>
    </row>
    <row r="319">
      <c r="B319" s="19"/>
      <c r="C319" s="19"/>
      <c r="E319" s="19" t="str">
        <f t="array" ref="E319">IF(B319="","",IFERROR(INDEX(Produtos!E:E,MATCH(B319&amp;C319,Produtos!B:B&amp;Produtos!C:C,0)),""))</f>
        <v/>
      </c>
      <c r="F319" s="19" t="str">
        <f t="shared" si="1"/>
        <v/>
      </c>
    </row>
    <row r="320">
      <c r="B320" s="19"/>
      <c r="C320" s="19"/>
      <c r="E320" s="19" t="str">
        <f t="array" ref="E320">IF(B320="","",IFERROR(INDEX(Produtos!E:E,MATCH(B320&amp;C320,Produtos!B:B&amp;Produtos!C:C,0)),""))</f>
        <v/>
      </c>
      <c r="F320" s="19" t="str">
        <f t="shared" si="1"/>
        <v/>
      </c>
    </row>
    <row r="321">
      <c r="B321" s="19"/>
      <c r="C321" s="19"/>
      <c r="E321" s="19" t="str">
        <f t="array" ref="E321">IF(B321="","",IFERROR(INDEX(Produtos!E:E,MATCH(B321&amp;C321,Produtos!B:B&amp;Produtos!C:C,0)),""))</f>
        <v/>
      </c>
      <c r="F321" s="19" t="str">
        <f t="shared" si="1"/>
        <v/>
      </c>
    </row>
    <row r="322">
      <c r="B322" s="19"/>
      <c r="C322" s="19"/>
      <c r="E322" s="19" t="str">
        <f t="array" ref="E322">IF(B322="","",IFERROR(INDEX(Produtos!E:E,MATCH(B322&amp;C322,Produtos!B:B&amp;Produtos!C:C,0)),""))</f>
        <v/>
      </c>
      <c r="F322" s="19" t="str">
        <f t="shared" si="1"/>
        <v/>
      </c>
    </row>
    <row r="323">
      <c r="B323" s="19"/>
      <c r="C323" s="19"/>
      <c r="E323" s="19" t="str">
        <f t="array" ref="E323">IF(B323="","",IFERROR(INDEX(Produtos!E:E,MATCH(B323&amp;C323,Produtos!B:B&amp;Produtos!C:C,0)),""))</f>
        <v/>
      </c>
      <c r="F323" s="19" t="str">
        <f t="shared" si="1"/>
        <v/>
      </c>
    </row>
    <row r="324">
      <c r="B324" s="19"/>
      <c r="C324" s="19"/>
      <c r="E324" s="19" t="str">
        <f t="array" ref="E324">IF(B324="","",IFERROR(INDEX(Produtos!E:E,MATCH(B324&amp;C324,Produtos!B:B&amp;Produtos!C:C,0)),""))</f>
        <v/>
      </c>
      <c r="F324" s="19" t="str">
        <f t="shared" si="1"/>
        <v/>
      </c>
    </row>
    <row r="325">
      <c r="B325" s="19"/>
      <c r="C325" s="19"/>
      <c r="E325" s="19" t="str">
        <f t="array" ref="E325">IF(B325="","",IFERROR(INDEX(Produtos!E:E,MATCH(B325&amp;C325,Produtos!B:B&amp;Produtos!C:C,0)),""))</f>
        <v/>
      </c>
      <c r="F325" s="19" t="str">
        <f t="shared" si="1"/>
        <v/>
      </c>
    </row>
    <row r="326">
      <c r="B326" s="19"/>
      <c r="C326" s="19"/>
      <c r="E326" s="19" t="str">
        <f t="array" ref="E326">IF(B326="","",IFERROR(INDEX(Produtos!E:E,MATCH(B326&amp;C326,Produtos!B:B&amp;Produtos!C:C,0)),""))</f>
        <v/>
      </c>
      <c r="F326" s="19" t="str">
        <f t="shared" si="1"/>
        <v/>
      </c>
    </row>
    <row r="327">
      <c r="B327" s="19"/>
      <c r="C327" s="19"/>
      <c r="E327" s="19" t="str">
        <f t="array" ref="E327">IF(B327="","",IFERROR(INDEX(Produtos!E:E,MATCH(B327&amp;C327,Produtos!B:B&amp;Produtos!C:C,0)),""))</f>
        <v/>
      </c>
      <c r="F327" s="19" t="str">
        <f t="shared" si="1"/>
        <v/>
      </c>
    </row>
    <row r="328">
      <c r="B328" s="19"/>
      <c r="C328" s="19"/>
      <c r="E328" s="19" t="str">
        <f t="array" ref="E328">IF(B328="","",IFERROR(INDEX(Produtos!E:E,MATCH(B328&amp;C328,Produtos!B:B&amp;Produtos!C:C,0)),""))</f>
        <v/>
      </c>
      <c r="F328" s="19" t="str">
        <f t="shared" si="1"/>
        <v/>
      </c>
    </row>
    <row r="329">
      <c r="B329" s="19"/>
      <c r="C329" s="19"/>
      <c r="E329" s="19" t="str">
        <f t="array" ref="E329">IF(B329="","",IFERROR(INDEX(Produtos!E:E,MATCH(B329&amp;C329,Produtos!B:B&amp;Produtos!C:C,0)),""))</f>
        <v/>
      </c>
      <c r="F329" s="19" t="str">
        <f t="shared" si="1"/>
        <v/>
      </c>
    </row>
    <row r="330">
      <c r="B330" s="19"/>
      <c r="C330" s="19"/>
      <c r="E330" s="19" t="str">
        <f t="array" ref="E330">IF(B330="","",IFERROR(INDEX(Produtos!E:E,MATCH(B330&amp;C330,Produtos!B:B&amp;Produtos!C:C,0)),""))</f>
        <v/>
      </c>
      <c r="F330" s="19" t="str">
        <f t="shared" si="1"/>
        <v/>
      </c>
    </row>
    <row r="331">
      <c r="B331" s="19"/>
      <c r="C331" s="19"/>
      <c r="E331" s="19" t="str">
        <f t="array" ref="E331">IF(B331="","",IFERROR(INDEX(Produtos!E:E,MATCH(B331&amp;C331,Produtos!B:B&amp;Produtos!C:C,0)),""))</f>
        <v/>
      </c>
      <c r="F331" s="19" t="str">
        <f t="shared" si="1"/>
        <v/>
      </c>
    </row>
    <row r="332">
      <c r="B332" s="19"/>
      <c r="C332" s="19"/>
      <c r="E332" s="19" t="str">
        <f t="array" ref="E332">IF(B332="","",IFERROR(INDEX(Produtos!E:E,MATCH(B332&amp;C332,Produtos!B:B&amp;Produtos!C:C,0)),""))</f>
        <v/>
      </c>
      <c r="F332" s="19" t="str">
        <f t="shared" si="1"/>
        <v/>
      </c>
    </row>
    <row r="333">
      <c r="B333" s="19"/>
      <c r="C333" s="19"/>
      <c r="E333" s="19" t="str">
        <f t="array" ref="E333">IF(B333="","",IFERROR(INDEX(Produtos!E:E,MATCH(B333&amp;C333,Produtos!B:B&amp;Produtos!C:C,0)),""))</f>
        <v/>
      </c>
      <c r="F333" s="19" t="str">
        <f t="shared" si="1"/>
        <v/>
      </c>
    </row>
    <row r="334">
      <c r="B334" s="19"/>
      <c r="C334" s="19"/>
      <c r="E334" s="19" t="str">
        <f t="array" ref="E334">IF(B334="","",IFERROR(INDEX(Produtos!E:E,MATCH(B334&amp;C334,Produtos!B:B&amp;Produtos!C:C,0)),""))</f>
        <v/>
      </c>
      <c r="F334" s="19" t="str">
        <f t="shared" si="1"/>
        <v/>
      </c>
    </row>
    <row r="335">
      <c r="B335" s="19"/>
      <c r="C335" s="19"/>
      <c r="E335" s="19" t="str">
        <f t="array" ref="E335">IF(B335="","",IFERROR(INDEX(Produtos!E:E,MATCH(B335&amp;C335,Produtos!B:B&amp;Produtos!C:C,0)),""))</f>
        <v/>
      </c>
      <c r="F335" s="19" t="str">
        <f t="shared" si="1"/>
        <v/>
      </c>
    </row>
    <row r="336">
      <c r="B336" s="19"/>
      <c r="C336" s="19"/>
      <c r="E336" s="19" t="str">
        <f t="array" ref="E336">IF(B336="","",IFERROR(INDEX(Produtos!E:E,MATCH(B336&amp;C336,Produtos!B:B&amp;Produtos!C:C,0)),""))</f>
        <v/>
      </c>
      <c r="F336" s="19" t="str">
        <f t="shared" si="1"/>
        <v/>
      </c>
    </row>
    <row r="337">
      <c r="B337" s="19"/>
      <c r="C337" s="19"/>
      <c r="E337" s="19" t="str">
        <f t="array" ref="E337">IF(B337="","",IFERROR(INDEX(Produtos!E:E,MATCH(B337&amp;C337,Produtos!B:B&amp;Produtos!C:C,0)),""))</f>
        <v/>
      </c>
      <c r="F337" s="19" t="str">
        <f t="shared" si="1"/>
        <v/>
      </c>
    </row>
    <row r="338">
      <c r="B338" s="19"/>
      <c r="C338" s="19"/>
      <c r="E338" s="19" t="str">
        <f t="array" ref="E338">IF(B338="","",IFERROR(INDEX(Produtos!E:E,MATCH(B338&amp;C338,Produtos!B:B&amp;Produtos!C:C,0)),""))</f>
        <v/>
      </c>
      <c r="F338" s="19" t="str">
        <f t="shared" si="1"/>
        <v/>
      </c>
    </row>
    <row r="339">
      <c r="B339" s="19"/>
      <c r="C339" s="19"/>
      <c r="E339" s="19" t="str">
        <f t="array" ref="E339">IF(B339="","",IFERROR(INDEX(Produtos!E:E,MATCH(B339&amp;C339,Produtos!B:B&amp;Produtos!C:C,0)),""))</f>
        <v/>
      </c>
      <c r="F339" s="19" t="str">
        <f t="shared" si="1"/>
        <v/>
      </c>
    </row>
    <row r="340">
      <c r="B340" s="19"/>
      <c r="C340" s="19"/>
      <c r="E340" s="19" t="str">
        <f t="array" ref="E340">IF(B340="","",IFERROR(INDEX(Produtos!E:E,MATCH(B340&amp;C340,Produtos!B:B&amp;Produtos!C:C,0)),""))</f>
        <v/>
      </c>
      <c r="F340" s="19" t="str">
        <f t="shared" si="1"/>
        <v/>
      </c>
    </row>
    <row r="341">
      <c r="B341" s="19"/>
      <c r="C341" s="19"/>
      <c r="E341" s="19" t="str">
        <f t="array" ref="E341">IF(B341="","",IFERROR(INDEX(Produtos!E:E,MATCH(B341&amp;C341,Produtos!B:B&amp;Produtos!C:C,0)),""))</f>
        <v/>
      </c>
      <c r="F341" s="19" t="str">
        <f t="shared" si="1"/>
        <v/>
      </c>
    </row>
    <row r="342">
      <c r="B342" s="19"/>
      <c r="C342" s="19"/>
      <c r="E342" s="19" t="str">
        <f t="array" ref="E342">IF(B342="","",IFERROR(INDEX(Produtos!E:E,MATCH(B342&amp;C342,Produtos!B:B&amp;Produtos!C:C,0)),""))</f>
        <v/>
      </c>
      <c r="F342" s="19" t="str">
        <f t="shared" si="1"/>
        <v/>
      </c>
    </row>
    <row r="343">
      <c r="B343" s="19"/>
      <c r="C343" s="19"/>
      <c r="E343" s="19" t="str">
        <f t="array" ref="E343">IF(B343="","",IFERROR(INDEX(Produtos!E:E,MATCH(B343&amp;C343,Produtos!B:B&amp;Produtos!C:C,0)),""))</f>
        <v/>
      </c>
      <c r="F343" s="19" t="str">
        <f t="shared" si="1"/>
        <v/>
      </c>
    </row>
    <row r="344">
      <c r="B344" s="19"/>
      <c r="C344" s="19"/>
      <c r="E344" s="19" t="str">
        <f t="array" ref="E344">IF(B344="","",IFERROR(INDEX(Produtos!E:E,MATCH(B344&amp;C344,Produtos!B:B&amp;Produtos!C:C,0)),""))</f>
        <v/>
      </c>
      <c r="F344" s="19" t="str">
        <f t="shared" si="1"/>
        <v/>
      </c>
    </row>
    <row r="345">
      <c r="B345" s="19"/>
      <c r="C345" s="19"/>
      <c r="E345" s="19" t="str">
        <f t="array" ref="E345">IF(B345="","",IFERROR(INDEX(Produtos!E:E,MATCH(B345&amp;C345,Produtos!B:B&amp;Produtos!C:C,0)),""))</f>
        <v/>
      </c>
      <c r="F345" s="19" t="str">
        <f t="shared" si="1"/>
        <v/>
      </c>
    </row>
    <row r="346">
      <c r="B346" s="19"/>
      <c r="C346" s="19"/>
      <c r="E346" s="19" t="str">
        <f t="array" ref="E346">IF(B346="","",IFERROR(INDEX(Produtos!E:E,MATCH(B346&amp;C346,Produtos!B:B&amp;Produtos!C:C,0)),""))</f>
        <v/>
      </c>
      <c r="F346" s="19" t="str">
        <f t="shared" si="1"/>
        <v/>
      </c>
    </row>
    <row r="347">
      <c r="B347" s="19"/>
      <c r="C347" s="19"/>
      <c r="E347" s="19" t="str">
        <f t="array" ref="E347">IF(B347="","",IFERROR(INDEX(Produtos!E:E,MATCH(B347&amp;C347,Produtos!B:B&amp;Produtos!C:C,0)),""))</f>
        <v/>
      </c>
      <c r="F347" s="19" t="str">
        <f t="shared" si="1"/>
        <v/>
      </c>
    </row>
    <row r="348">
      <c r="B348" s="19"/>
      <c r="C348" s="19"/>
      <c r="E348" s="19" t="str">
        <f t="array" ref="E348">IF(B348="","",IFERROR(INDEX(Produtos!E:E,MATCH(B348&amp;C348,Produtos!B:B&amp;Produtos!C:C,0)),""))</f>
        <v/>
      </c>
      <c r="F348" s="19" t="str">
        <f t="shared" si="1"/>
        <v/>
      </c>
    </row>
    <row r="349">
      <c r="B349" s="19"/>
      <c r="C349" s="19"/>
      <c r="E349" s="19" t="str">
        <f t="array" ref="E349">IF(B349="","",IFERROR(INDEX(Produtos!E:E,MATCH(B349&amp;C349,Produtos!B:B&amp;Produtos!C:C,0)),""))</f>
        <v/>
      </c>
      <c r="F349" s="19" t="str">
        <f t="shared" si="1"/>
        <v/>
      </c>
    </row>
    <row r="350">
      <c r="B350" s="19"/>
      <c r="C350" s="19"/>
      <c r="E350" s="19" t="str">
        <f t="array" ref="E350">IF(B350="","",IFERROR(INDEX(Produtos!E:E,MATCH(B350&amp;C350,Produtos!B:B&amp;Produtos!C:C,0)),""))</f>
        <v/>
      </c>
      <c r="F350" s="19" t="str">
        <f t="shared" si="1"/>
        <v/>
      </c>
    </row>
    <row r="351">
      <c r="B351" s="19"/>
      <c r="C351" s="19"/>
      <c r="E351" s="19" t="str">
        <f t="array" ref="E351">IF(B351="","",IFERROR(INDEX(Produtos!E:E,MATCH(B351&amp;C351,Produtos!B:B&amp;Produtos!C:C,0)),""))</f>
        <v/>
      </c>
      <c r="F351" s="19" t="str">
        <f t="shared" si="1"/>
        <v/>
      </c>
    </row>
    <row r="352">
      <c r="B352" s="19"/>
      <c r="C352" s="19"/>
      <c r="E352" s="19" t="str">
        <f t="array" ref="E352">IF(B352="","",IFERROR(INDEX(Produtos!E:E,MATCH(B352&amp;C352,Produtos!B:B&amp;Produtos!C:C,0)),""))</f>
        <v/>
      </c>
      <c r="F352" s="19" t="str">
        <f t="shared" si="1"/>
        <v/>
      </c>
    </row>
    <row r="353">
      <c r="B353" s="19"/>
      <c r="C353" s="19"/>
      <c r="E353" s="19" t="str">
        <f t="array" ref="E353">IF(B353="","",IFERROR(INDEX(Produtos!E:E,MATCH(B353&amp;C353,Produtos!B:B&amp;Produtos!C:C,0)),""))</f>
        <v/>
      </c>
      <c r="F353" s="19" t="str">
        <f t="shared" si="1"/>
        <v/>
      </c>
    </row>
    <row r="354">
      <c r="B354" s="19"/>
      <c r="C354" s="19"/>
      <c r="E354" s="19" t="str">
        <f t="array" ref="E354">IF(B354="","",IFERROR(INDEX(Produtos!E:E,MATCH(B354&amp;C354,Produtos!B:B&amp;Produtos!C:C,0)),""))</f>
        <v/>
      </c>
      <c r="F354" s="19" t="str">
        <f t="shared" si="1"/>
        <v/>
      </c>
    </row>
    <row r="355">
      <c r="B355" s="19"/>
      <c r="C355" s="19"/>
      <c r="E355" s="19" t="str">
        <f t="array" ref="E355">IF(B355="","",IFERROR(INDEX(Produtos!E:E,MATCH(B355&amp;C355,Produtos!B:B&amp;Produtos!C:C,0)),""))</f>
        <v/>
      </c>
      <c r="F355" s="19" t="str">
        <f t="shared" si="1"/>
        <v/>
      </c>
    </row>
    <row r="356">
      <c r="B356" s="19"/>
      <c r="C356" s="19"/>
      <c r="E356" s="19" t="str">
        <f t="array" ref="E356">IF(B356="","",IFERROR(INDEX(Produtos!E:E,MATCH(B356&amp;C356,Produtos!B:B&amp;Produtos!C:C,0)),""))</f>
        <v/>
      </c>
      <c r="F356" s="19" t="str">
        <f t="shared" si="1"/>
        <v/>
      </c>
    </row>
    <row r="357">
      <c r="B357" s="19"/>
      <c r="C357" s="19"/>
      <c r="E357" s="19" t="str">
        <f t="array" ref="E357">IF(B357="","",IFERROR(INDEX(Produtos!E:E,MATCH(B357&amp;C357,Produtos!B:B&amp;Produtos!C:C,0)),""))</f>
        <v/>
      </c>
      <c r="F357" s="19" t="str">
        <f t="shared" si="1"/>
        <v/>
      </c>
    </row>
    <row r="358">
      <c r="B358" s="19"/>
      <c r="C358" s="19"/>
      <c r="E358" s="19" t="str">
        <f t="array" ref="E358">IF(B358="","",IFERROR(INDEX(Produtos!E:E,MATCH(B358&amp;C358,Produtos!B:B&amp;Produtos!C:C,0)),""))</f>
        <v/>
      </c>
      <c r="F358" s="19" t="str">
        <f t="shared" si="1"/>
        <v/>
      </c>
    </row>
    <row r="359">
      <c r="B359" s="19"/>
      <c r="C359" s="19"/>
      <c r="E359" s="19" t="str">
        <f t="array" ref="E359">IF(B359="","",IFERROR(INDEX(Produtos!E:E,MATCH(B359&amp;C359,Produtos!B:B&amp;Produtos!C:C,0)),""))</f>
        <v/>
      </c>
      <c r="F359" s="19" t="str">
        <f t="shared" si="1"/>
        <v/>
      </c>
    </row>
    <row r="360">
      <c r="B360" s="19"/>
      <c r="C360" s="19"/>
      <c r="E360" s="19" t="str">
        <f t="array" ref="E360">IF(B360="","",IFERROR(INDEX(Produtos!E:E,MATCH(B360&amp;C360,Produtos!B:B&amp;Produtos!C:C,0)),""))</f>
        <v/>
      </c>
      <c r="F360" s="19" t="str">
        <f t="shared" si="1"/>
        <v/>
      </c>
    </row>
    <row r="361">
      <c r="B361" s="19"/>
      <c r="C361" s="19"/>
      <c r="E361" s="19" t="str">
        <f t="array" ref="E361">IF(B361="","",IFERROR(INDEX(Produtos!E:E,MATCH(B361&amp;C361,Produtos!B:B&amp;Produtos!C:C,0)),""))</f>
        <v/>
      </c>
      <c r="F361" s="19" t="str">
        <f t="shared" si="1"/>
        <v/>
      </c>
    </row>
    <row r="362">
      <c r="B362" s="19"/>
      <c r="C362" s="19"/>
      <c r="E362" s="19" t="str">
        <f t="array" ref="E362">IF(B362="","",IFERROR(INDEX(Produtos!E:E,MATCH(B362&amp;C362,Produtos!B:B&amp;Produtos!C:C,0)),""))</f>
        <v/>
      </c>
      <c r="F362" s="19" t="str">
        <f t="shared" si="1"/>
        <v/>
      </c>
    </row>
    <row r="363">
      <c r="B363" s="19"/>
      <c r="C363" s="19"/>
      <c r="E363" s="19" t="str">
        <f t="array" ref="E363">IF(B363="","",IFERROR(INDEX(Produtos!E:E,MATCH(B363&amp;C363,Produtos!B:B&amp;Produtos!C:C,0)),""))</f>
        <v/>
      </c>
      <c r="F363" s="19" t="str">
        <f t="shared" si="1"/>
        <v/>
      </c>
    </row>
    <row r="364">
      <c r="B364" s="19"/>
      <c r="C364" s="19"/>
      <c r="E364" s="19" t="str">
        <f t="array" ref="E364">IF(B364="","",IFERROR(INDEX(Produtos!E:E,MATCH(B364&amp;C364,Produtos!B:B&amp;Produtos!C:C,0)),""))</f>
        <v/>
      </c>
      <c r="F364" s="19" t="str">
        <f t="shared" si="1"/>
        <v/>
      </c>
    </row>
    <row r="365">
      <c r="B365" s="19"/>
      <c r="C365" s="19"/>
      <c r="E365" s="19" t="str">
        <f t="array" ref="E365">IF(B365="","",IFERROR(INDEX(Produtos!E:E,MATCH(B365&amp;C365,Produtos!B:B&amp;Produtos!C:C,0)),""))</f>
        <v/>
      </c>
      <c r="F365" s="19" t="str">
        <f t="shared" si="1"/>
        <v/>
      </c>
    </row>
    <row r="366">
      <c r="B366" s="19"/>
      <c r="C366" s="19"/>
      <c r="E366" s="19" t="str">
        <f t="array" ref="E366">IF(B366="","",IFERROR(INDEX(Produtos!E:E,MATCH(B366&amp;C366,Produtos!B:B&amp;Produtos!C:C,0)),""))</f>
        <v/>
      </c>
      <c r="F366" s="19" t="str">
        <f t="shared" si="1"/>
        <v/>
      </c>
    </row>
    <row r="367">
      <c r="B367" s="19"/>
      <c r="C367" s="19"/>
      <c r="E367" s="19" t="str">
        <f t="array" ref="E367">IF(B367="","",IFERROR(INDEX(Produtos!E:E,MATCH(B367&amp;C367,Produtos!B:B&amp;Produtos!C:C,0)),""))</f>
        <v/>
      </c>
      <c r="F367" s="19" t="str">
        <f t="shared" si="1"/>
        <v/>
      </c>
    </row>
    <row r="368">
      <c r="B368" s="19"/>
      <c r="C368" s="19"/>
      <c r="E368" s="19" t="str">
        <f t="array" ref="E368">IF(B368="","",IFERROR(INDEX(Produtos!E:E,MATCH(B368&amp;C368,Produtos!B:B&amp;Produtos!C:C,0)),""))</f>
        <v/>
      </c>
      <c r="F368" s="19" t="str">
        <f t="shared" si="1"/>
        <v/>
      </c>
    </row>
    <row r="369">
      <c r="B369" s="19"/>
      <c r="C369" s="19"/>
      <c r="E369" s="19" t="str">
        <f t="array" ref="E369">IF(B369="","",IFERROR(INDEX(Produtos!E:E,MATCH(B369&amp;C369,Produtos!B:B&amp;Produtos!C:C,0)),""))</f>
        <v/>
      </c>
      <c r="F369" s="19" t="str">
        <f t="shared" si="1"/>
        <v/>
      </c>
    </row>
    <row r="370">
      <c r="B370" s="19"/>
      <c r="C370" s="19"/>
      <c r="E370" s="19" t="str">
        <f t="array" ref="E370">IF(B370="","",IFERROR(INDEX(Produtos!E:E,MATCH(B370&amp;C370,Produtos!B:B&amp;Produtos!C:C,0)),""))</f>
        <v/>
      </c>
      <c r="F370" s="19" t="str">
        <f t="shared" si="1"/>
        <v/>
      </c>
    </row>
    <row r="371">
      <c r="B371" s="19"/>
      <c r="C371" s="19"/>
      <c r="E371" s="19" t="str">
        <f t="array" ref="E371">IF(B371="","",IFERROR(INDEX(Produtos!E:E,MATCH(B371&amp;C371,Produtos!B:B&amp;Produtos!C:C,0)),""))</f>
        <v/>
      </c>
      <c r="F371" s="19" t="str">
        <f t="shared" si="1"/>
        <v/>
      </c>
    </row>
    <row r="372">
      <c r="B372" s="19"/>
      <c r="C372" s="19"/>
      <c r="E372" s="19" t="str">
        <f t="array" ref="E372">IF(B372="","",IFERROR(INDEX(Produtos!E:E,MATCH(B372&amp;C372,Produtos!B:B&amp;Produtos!C:C,0)),""))</f>
        <v/>
      </c>
      <c r="F372" s="19" t="str">
        <f t="shared" si="1"/>
        <v/>
      </c>
    </row>
    <row r="373">
      <c r="B373" s="19"/>
      <c r="C373" s="19"/>
      <c r="E373" s="19" t="str">
        <f t="array" ref="E373">IF(B373="","",IFERROR(INDEX(Produtos!E:E,MATCH(B373&amp;C373,Produtos!B:B&amp;Produtos!C:C,0)),""))</f>
        <v/>
      </c>
      <c r="F373" s="19" t="str">
        <f t="shared" si="1"/>
        <v/>
      </c>
    </row>
    <row r="374">
      <c r="B374" s="19"/>
      <c r="C374" s="19"/>
      <c r="E374" s="19" t="str">
        <f t="array" ref="E374">IF(B374="","",IFERROR(INDEX(Produtos!E:E,MATCH(B374&amp;C374,Produtos!B:B&amp;Produtos!C:C,0)),""))</f>
        <v/>
      </c>
      <c r="F374" s="19" t="str">
        <f t="shared" si="1"/>
        <v/>
      </c>
    </row>
    <row r="375">
      <c r="B375" s="19"/>
      <c r="C375" s="19"/>
      <c r="E375" s="19" t="str">
        <f t="array" ref="E375">IF(B375="","",IFERROR(INDEX(Produtos!E:E,MATCH(B375&amp;C375,Produtos!B:B&amp;Produtos!C:C,0)),""))</f>
        <v/>
      </c>
      <c r="F375" s="19" t="str">
        <f t="shared" si="1"/>
        <v/>
      </c>
    </row>
    <row r="376">
      <c r="B376" s="19"/>
      <c r="C376" s="19"/>
      <c r="E376" s="19" t="str">
        <f t="array" ref="E376">IF(B376="","",IFERROR(INDEX(Produtos!E:E,MATCH(B376&amp;C376,Produtos!B:B&amp;Produtos!C:C,0)),""))</f>
        <v/>
      </c>
      <c r="F376" s="19" t="str">
        <f t="shared" si="1"/>
        <v/>
      </c>
    </row>
    <row r="377">
      <c r="B377" s="19"/>
      <c r="C377" s="19"/>
      <c r="E377" s="19" t="str">
        <f t="array" ref="E377">IF(B377="","",IFERROR(INDEX(Produtos!E:E,MATCH(B377&amp;C377,Produtos!B:B&amp;Produtos!C:C,0)),""))</f>
        <v/>
      </c>
      <c r="F377" s="19" t="str">
        <f t="shared" si="1"/>
        <v/>
      </c>
    </row>
    <row r="378">
      <c r="B378" s="19"/>
      <c r="C378" s="19"/>
      <c r="E378" s="19" t="str">
        <f t="array" ref="E378">IF(B378="","",IFERROR(INDEX(Produtos!E:E,MATCH(B378&amp;C378,Produtos!B:B&amp;Produtos!C:C,0)),""))</f>
        <v/>
      </c>
      <c r="F378" s="19" t="str">
        <f t="shared" si="1"/>
        <v/>
      </c>
    </row>
    <row r="379">
      <c r="B379" s="19"/>
      <c r="C379" s="19"/>
      <c r="E379" s="19" t="str">
        <f t="array" ref="E379">IF(B379="","",IFERROR(INDEX(Produtos!E:E,MATCH(B379&amp;C379,Produtos!B:B&amp;Produtos!C:C,0)),""))</f>
        <v/>
      </c>
      <c r="F379" s="19" t="str">
        <f t="shared" si="1"/>
        <v/>
      </c>
    </row>
    <row r="380">
      <c r="B380" s="19"/>
      <c r="C380" s="19"/>
      <c r="E380" s="19" t="str">
        <f t="array" ref="E380">IF(B380="","",IFERROR(INDEX(Produtos!E:E,MATCH(B380&amp;C380,Produtos!B:B&amp;Produtos!C:C,0)),""))</f>
        <v/>
      </c>
      <c r="F380" s="19" t="str">
        <f t="shared" si="1"/>
        <v/>
      </c>
    </row>
    <row r="381">
      <c r="B381" s="19"/>
      <c r="C381" s="19"/>
      <c r="E381" s="19" t="str">
        <f t="array" ref="E381">IF(B381="","",IFERROR(INDEX(Produtos!E:E,MATCH(B381&amp;C381,Produtos!B:B&amp;Produtos!C:C,0)),""))</f>
        <v/>
      </c>
      <c r="F381" s="19" t="str">
        <f t="shared" si="1"/>
        <v/>
      </c>
    </row>
    <row r="382">
      <c r="B382" s="19"/>
      <c r="C382" s="19"/>
      <c r="E382" s="19" t="str">
        <f t="array" ref="E382">IF(B382="","",IFERROR(INDEX(Produtos!E:E,MATCH(B382&amp;C382,Produtos!B:B&amp;Produtos!C:C,0)),""))</f>
        <v/>
      </c>
      <c r="F382" s="19" t="str">
        <f t="shared" si="1"/>
        <v/>
      </c>
    </row>
    <row r="383">
      <c r="B383" s="19"/>
      <c r="C383" s="19"/>
      <c r="E383" s="19" t="str">
        <f t="array" ref="E383">IF(B383="","",IFERROR(INDEX(Produtos!E:E,MATCH(B383&amp;C383,Produtos!B:B&amp;Produtos!C:C,0)),""))</f>
        <v/>
      </c>
      <c r="F383" s="19" t="str">
        <f t="shared" si="1"/>
        <v/>
      </c>
    </row>
    <row r="384">
      <c r="B384" s="19"/>
      <c r="C384" s="19"/>
      <c r="E384" s="19" t="str">
        <f t="array" ref="E384">IF(B384="","",IFERROR(INDEX(Produtos!E:E,MATCH(B384&amp;C384,Produtos!B:B&amp;Produtos!C:C,0)),""))</f>
        <v/>
      </c>
      <c r="F384" s="19" t="str">
        <f t="shared" si="1"/>
        <v/>
      </c>
    </row>
    <row r="385">
      <c r="B385" s="19"/>
      <c r="C385" s="19"/>
      <c r="E385" s="19" t="str">
        <f t="array" ref="E385">IF(B385="","",IFERROR(INDEX(Produtos!E:E,MATCH(B385&amp;C385,Produtos!B:B&amp;Produtos!C:C,0)),""))</f>
        <v/>
      </c>
      <c r="F385" s="19" t="str">
        <f t="shared" si="1"/>
        <v/>
      </c>
    </row>
    <row r="386">
      <c r="B386" s="19"/>
      <c r="C386" s="19"/>
      <c r="E386" s="19" t="str">
        <f t="array" ref="E386">IF(B386="","",IFERROR(INDEX(Produtos!E:E,MATCH(B386&amp;C386,Produtos!B:B&amp;Produtos!C:C,0)),""))</f>
        <v/>
      </c>
      <c r="F386" s="19" t="str">
        <f t="shared" si="1"/>
        <v/>
      </c>
    </row>
    <row r="387">
      <c r="B387" s="19"/>
      <c r="C387" s="19"/>
      <c r="E387" s="19" t="str">
        <f t="array" ref="E387">IF(B387="","",IFERROR(INDEX(Produtos!E:E,MATCH(B387&amp;C387,Produtos!B:B&amp;Produtos!C:C,0)),""))</f>
        <v/>
      </c>
      <c r="F387" s="19" t="str">
        <f t="shared" si="1"/>
        <v/>
      </c>
    </row>
    <row r="388">
      <c r="B388" s="19"/>
      <c r="C388" s="19"/>
      <c r="E388" s="19" t="str">
        <f t="array" ref="E388">IF(B388="","",IFERROR(INDEX(Produtos!E:E,MATCH(B388&amp;C388,Produtos!B:B&amp;Produtos!C:C,0)),""))</f>
        <v/>
      </c>
      <c r="F388" s="19" t="str">
        <f t="shared" si="1"/>
        <v/>
      </c>
    </row>
    <row r="389">
      <c r="B389" s="19"/>
      <c r="C389" s="19"/>
      <c r="E389" s="19" t="str">
        <f t="array" ref="E389">IF(B389="","",IFERROR(INDEX(Produtos!E:E,MATCH(B389&amp;C389,Produtos!B:B&amp;Produtos!C:C,0)),""))</f>
        <v/>
      </c>
      <c r="F389" s="19" t="str">
        <f t="shared" si="1"/>
        <v/>
      </c>
    </row>
    <row r="390">
      <c r="B390" s="19"/>
      <c r="C390" s="19"/>
      <c r="E390" s="19" t="str">
        <f t="array" ref="E390">IF(B390="","",IFERROR(INDEX(Produtos!E:E,MATCH(B390&amp;C390,Produtos!B:B&amp;Produtos!C:C,0)),""))</f>
        <v/>
      </c>
      <c r="F390" s="19" t="str">
        <f t="shared" si="1"/>
        <v/>
      </c>
    </row>
    <row r="391">
      <c r="B391" s="19"/>
      <c r="C391" s="19"/>
      <c r="E391" s="19" t="str">
        <f t="array" ref="E391">IF(B391="","",IFERROR(INDEX(Produtos!E:E,MATCH(B391&amp;C391,Produtos!B:B&amp;Produtos!C:C,0)),""))</f>
        <v/>
      </c>
      <c r="F391" s="19" t="str">
        <f t="shared" si="1"/>
        <v/>
      </c>
    </row>
    <row r="392">
      <c r="B392" s="19"/>
      <c r="C392" s="19"/>
      <c r="E392" s="19" t="str">
        <f t="array" ref="E392">IF(B392="","",IFERROR(INDEX(Produtos!E:E,MATCH(B392&amp;C392,Produtos!B:B&amp;Produtos!C:C,0)),""))</f>
        <v/>
      </c>
      <c r="F392" s="19" t="str">
        <f t="shared" si="1"/>
        <v/>
      </c>
    </row>
    <row r="393">
      <c r="B393" s="19"/>
      <c r="C393" s="19"/>
      <c r="E393" s="19" t="str">
        <f t="array" ref="E393">IF(B393="","",IFERROR(INDEX(Produtos!E:E,MATCH(B393&amp;C393,Produtos!B:B&amp;Produtos!C:C,0)),""))</f>
        <v/>
      </c>
      <c r="F393" s="19" t="str">
        <f t="shared" si="1"/>
        <v/>
      </c>
    </row>
    <row r="394">
      <c r="B394" s="19"/>
      <c r="C394" s="19"/>
      <c r="E394" s="19" t="str">
        <f t="array" ref="E394">IF(B394="","",IFERROR(INDEX(Produtos!E:E,MATCH(B394&amp;C394,Produtos!B:B&amp;Produtos!C:C,0)),""))</f>
        <v/>
      </c>
      <c r="F394" s="19" t="str">
        <f t="shared" si="1"/>
        <v/>
      </c>
    </row>
    <row r="395">
      <c r="B395" s="19"/>
      <c r="C395" s="19"/>
      <c r="E395" s="19" t="str">
        <f t="array" ref="E395">IF(B395="","",IFERROR(INDEX(Produtos!E:E,MATCH(B395&amp;C395,Produtos!B:B&amp;Produtos!C:C,0)),""))</f>
        <v/>
      </c>
      <c r="F395" s="19" t="str">
        <f t="shared" si="1"/>
        <v/>
      </c>
    </row>
    <row r="396">
      <c r="B396" s="19"/>
      <c r="C396" s="19"/>
      <c r="E396" s="19" t="str">
        <f t="array" ref="E396">IF(B396="","",IFERROR(INDEX(Produtos!E:E,MATCH(B396&amp;C396,Produtos!B:B&amp;Produtos!C:C,0)),""))</f>
        <v/>
      </c>
      <c r="F396" s="19" t="str">
        <f t="shared" si="1"/>
        <v/>
      </c>
    </row>
    <row r="397">
      <c r="B397" s="19"/>
      <c r="C397" s="19"/>
      <c r="E397" s="19" t="str">
        <f t="array" ref="E397">IF(B397="","",IFERROR(INDEX(Produtos!E:E,MATCH(B397&amp;C397,Produtos!B:B&amp;Produtos!C:C,0)),""))</f>
        <v/>
      </c>
      <c r="F397" s="19" t="str">
        <f t="shared" si="1"/>
        <v/>
      </c>
    </row>
    <row r="398">
      <c r="B398" s="19"/>
      <c r="C398" s="19"/>
      <c r="E398" s="19" t="str">
        <f t="array" ref="E398">IF(B398="","",IFERROR(INDEX(Produtos!E:E,MATCH(B398&amp;C398,Produtos!B:B&amp;Produtos!C:C,0)),""))</f>
        <v/>
      </c>
      <c r="F398" s="19" t="str">
        <f t="shared" si="1"/>
        <v/>
      </c>
    </row>
    <row r="399">
      <c r="B399" s="19"/>
      <c r="C399" s="19"/>
      <c r="E399" s="19" t="str">
        <f t="array" ref="E399">IF(B399="","",IFERROR(INDEX(Produtos!E:E,MATCH(B399&amp;C399,Produtos!B:B&amp;Produtos!C:C,0)),""))</f>
        <v/>
      </c>
      <c r="F399" s="19" t="str">
        <f t="shared" si="1"/>
        <v/>
      </c>
    </row>
    <row r="400">
      <c r="B400" s="19"/>
      <c r="C400" s="19"/>
      <c r="E400" s="19" t="str">
        <f t="array" ref="E400">IF(B400="","",IFERROR(INDEX(Produtos!E:E,MATCH(B400&amp;C400,Produtos!B:B&amp;Produtos!C:C,0)),""))</f>
        <v/>
      </c>
      <c r="F400" s="19" t="str">
        <f t="shared" si="1"/>
        <v/>
      </c>
    </row>
    <row r="401">
      <c r="B401" s="19"/>
      <c r="C401" s="19"/>
    </row>
    <row r="402">
      <c r="B402" s="19"/>
      <c r="C402" s="19"/>
    </row>
    <row r="403">
      <c r="B403" s="19"/>
      <c r="C403" s="19"/>
    </row>
    <row r="404">
      <c r="B404" s="19"/>
      <c r="C404" s="19"/>
    </row>
    <row r="405">
      <c r="B405" s="19"/>
      <c r="C405" s="19"/>
    </row>
    <row r="406">
      <c r="B406" s="19"/>
      <c r="C406" s="19"/>
    </row>
    <row r="407">
      <c r="B407" s="19"/>
      <c r="C407" s="19"/>
    </row>
    <row r="408">
      <c r="B408" s="19"/>
      <c r="C408" s="19"/>
    </row>
    <row r="409">
      <c r="B409" s="19"/>
      <c r="C409" s="19"/>
    </row>
    <row r="410">
      <c r="B410" s="19"/>
      <c r="C410" s="19"/>
    </row>
    <row r="411">
      <c r="B411" s="19"/>
      <c r="C411" s="19"/>
    </row>
    <row r="412">
      <c r="B412" s="19"/>
      <c r="C412" s="19"/>
    </row>
    <row r="413">
      <c r="B413" s="19"/>
      <c r="C413" s="19"/>
    </row>
    <row r="414">
      <c r="B414" s="19"/>
      <c r="C414" s="19"/>
    </row>
    <row r="415">
      <c r="B415" s="19"/>
      <c r="C415" s="19"/>
    </row>
    <row r="416">
      <c r="B416" s="19"/>
      <c r="C416" s="19"/>
    </row>
    <row r="417">
      <c r="B417" s="19"/>
      <c r="C417" s="19"/>
    </row>
    <row r="418">
      <c r="B418" s="19"/>
      <c r="C418" s="19"/>
    </row>
    <row r="419">
      <c r="B419" s="19"/>
      <c r="C419" s="19"/>
    </row>
    <row r="420">
      <c r="B420" s="19"/>
      <c r="C420" s="19"/>
    </row>
    <row r="421">
      <c r="B421" s="19"/>
      <c r="C421" s="19"/>
    </row>
    <row r="422">
      <c r="B422" s="19"/>
      <c r="C422" s="19"/>
    </row>
    <row r="423">
      <c r="B423" s="19"/>
      <c r="C423" s="19"/>
    </row>
    <row r="424">
      <c r="B424" s="19"/>
      <c r="C424" s="19"/>
    </row>
    <row r="425">
      <c r="B425" s="19"/>
      <c r="C425" s="19"/>
    </row>
    <row r="426">
      <c r="B426" s="19"/>
      <c r="C426" s="19"/>
    </row>
    <row r="427">
      <c r="B427" s="19"/>
      <c r="C427" s="19"/>
    </row>
    <row r="428">
      <c r="B428" s="19"/>
      <c r="C428" s="19"/>
    </row>
    <row r="429">
      <c r="B429" s="19"/>
      <c r="C429" s="19"/>
    </row>
    <row r="430">
      <c r="B430" s="19"/>
      <c r="C430" s="19"/>
    </row>
    <row r="431">
      <c r="B431" s="19"/>
      <c r="C431" s="19"/>
    </row>
    <row r="432">
      <c r="B432" s="19"/>
      <c r="C432" s="19"/>
    </row>
    <row r="433">
      <c r="B433" s="19"/>
      <c r="C433" s="19"/>
    </row>
    <row r="434">
      <c r="B434" s="19"/>
      <c r="C434" s="19"/>
    </row>
    <row r="435">
      <c r="B435" s="19"/>
      <c r="C435" s="19"/>
    </row>
    <row r="436">
      <c r="B436" s="19"/>
      <c r="C436" s="19"/>
    </row>
    <row r="437">
      <c r="B437" s="19"/>
      <c r="C437" s="19"/>
    </row>
    <row r="438">
      <c r="B438" s="19"/>
      <c r="C438" s="19"/>
    </row>
    <row r="439">
      <c r="B439" s="19"/>
      <c r="C439" s="19"/>
    </row>
    <row r="440">
      <c r="B440" s="19"/>
      <c r="C440" s="19"/>
    </row>
    <row r="441">
      <c r="B441" s="19"/>
      <c r="C441" s="19"/>
    </row>
    <row r="442">
      <c r="B442" s="19"/>
      <c r="C442" s="19"/>
    </row>
    <row r="443">
      <c r="B443" s="19"/>
      <c r="C443" s="19"/>
    </row>
    <row r="444">
      <c r="B444" s="19"/>
      <c r="C444" s="19"/>
    </row>
    <row r="445">
      <c r="B445" s="19"/>
      <c r="C445" s="19"/>
    </row>
    <row r="446">
      <c r="B446" s="19"/>
      <c r="C446" s="19"/>
    </row>
    <row r="447">
      <c r="B447" s="19"/>
      <c r="C447" s="19"/>
    </row>
    <row r="448">
      <c r="B448" s="19"/>
      <c r="C448" s="19"/>
    </row>
    <row r="449">
      <c r="B449" s="19"/>
      <c r="C449" s="19"/>
    </row>
    <row r="450">
      <c r="B450" s="19"/>
      <c r="C450" s="19"/>
    </row>
    <row r="451">
      <c r="B451" s="19"/>
      <c r="C451" s="19"/>
    </row>
    <row r="452">
      <c r="B452" s="19"/>
      <c r="C452" s="19"/>
    </row>
    <row r="453">
      <c r="B453" s="19"/>
      <c r="C453" s="19"/>
    </row>
    <row r="454">
      <c r="B454" s="19"/>
      <c r="C454" s="19"/>
    </row>
    <row r="455">
      <c r="B455" s="19"/>
      <c r="C455" s="19"/>
    </row>
    <row r="456">
      <c r="B456" s="19"/>
      <c r="C456" s="19"/>
    </row>
    <row r="457">
      <c r="B457" s="19"/>
      <c r="C457" s="19"/>
    </row>
    <row r="458">
      <c r="B458" s="19"/>
      <c r="C458" s="19"/>
    </row>
    <row r="459">
      <c r="B459" s="19"/>
      <c r="C459" s="19"/>
    </row>
    <row r="460">
      <c r="B460" s="19"/>
      <c r="C460" s="19"/>
    </row>
    <row r="461">
      <c r="B461" s="19"/>
      <c r="C461" s="19"/>
    </row>
    <row r="462">
      <c r="B462" s="19"/>
      <c r="C462" s="19"/>
    </row>
    <row r="463">
      <c r="B463" s="19"/>
      <c r="C463" s="19"/>
    </row>
    <row r="464">
      <c r="B464" s="19"/>
      <c r="C464" s="19"/>
    </row>
    <row r="465">
      <c r="B465" s="19"/>
      <c r="C465" s="19"/>
    </row>
    <row r="466">
      <c r="B466" s="19"/>
      <c r="C466" s="19"/>
    </row>
    <row r="467">
      <c r="B467" s="19"/>
      <c r="C467" s="19"/>
    </row>
    <row r="468">
      <c r="B468" s="19"/>
      <c r="C468" s="19"/>
    </row>
    <row r="469">
      <c r="B469" s="19"/>
      <c r="C469" s="19"/>
    </row>
    <row r="470">
      <c r="B470" s="19"/>
      <c r="C470" s="19"/>
    </row>
    <row r="471">
      <c r="B471" s="19"/>
      <c r="C471" s="19"/>
    </row>
    <row r="472">
      <c r="B472" s="19"/>
      <c r="C472" s="19"/>
    </row>
    <row r="473">
      <c r="B473" s="19"/>
      <c r="C473" s="19"/>
    </row>
    <row r="474">
      <c r="B474" s="19"/>
      <c r="C474" s="19"/>
    </row>
    <row r="475">
      <c r="B475" s="19"/>
      <c r="C475" s="19"/>
    </row>
    <row r="476">
      <c r="B476" s="19"/>
      <c r="C476" s="19"/>
    </row>
    <row r="477">
      <c r="B477" s="19"/>
      <c r="C477" s="19"/>
    </row>
    <row r="478">
      <c r="B478" s="19"/>
      <c r="C478" s="19"/>
    </row>
    <row r="479">
      <c r="B479" s="19"/>
      <c r="C479" s="19"/>
    </row>
    <row r="480">
      <c r="B480" s="19"/>
      <c r="C480" s="19"/>
    </row>
    <row r="481">
      <c r="B481" s="19"/>
      <c r="C481" s="19"/>
    </row>
    <row r="482">
      <c r="B482" s="19"/>
      <c r="C482" s="19"/>
    </row>
    <row r="483">
      <c r="B483" s="19"/>
      <c r="C483" s="19"/>
    </row>
    <row r="484">
      <c r="B484" s="19"/>
      <c r="C484" s="19"/>
    </row>
    <row r="485">
      <c r="B485" s="19"/>
      <c r="C485" s="19"/>
    </row>
    <row r="486">
      <c r="B486" s="19"/>
      <c r="C486" s="19"/>
    </row>
    <row r="487">
      <c r="B487" s="19"/>
      <c r="C487" s="19"/>
    </row>
    <row r="488">
      <c r="B488" s="19"/>
      <c r="C488" s="19"/>
    </row>
    <row r="489">
      <c r="B489" s="19"/>
      <c r="C489" s="19"/>
    </row>
    <row r="490">
      <c r="B490" s="19"/>
      <c r="C490" s="19"/>
    </row>
    <row r="491">
      <c r="B491" s="19"/>
      <c r="C491" s="19"/>
    </row>
    <row r="492">
      <c r="B492" s="19"/>
      <c r="C492" s="19"/>
    </row>
    <row r="493">
      <c r="B493" s="19"/>
      <c r="C493" s="19"/>
    </row>
    <row r="494">
      <c r="B494" s="19"/>
      <c r="C494" s="19"/>
    </row>
    <row r="495">
      <c r="B495" s="19"/>
      <c r="C495" s="19"/>
    </row>
    <row r="496">
      <c r="B496" s="19"/>
      <c r="C496" s="19"/>
    </row>
    <row r="497">
      <c r="B497" s="19"/>
      <c r="C497" s="19"/>
    </row>
    <row r="498">
      <c r="B498" s="19"/>
      <c r="C498" s="19"/>
    </row>
    <row r="499">
      <c r="B499" s="19"/>
      <c r="C499" s="19"/>
    </row>
    <row r="500">
      <c r="B500" s="19"/>
      <c r="C500" s="19"/>
    </row>
    <row r="501">
      <c r="B501" s="19"/>
      <c r="C501" s="19"/>
    </row>
    <row r="502">
      <c r="B502" s="19"/>
      <c r="C502" s="19"/>
    </row>
    <row r="503">
      <c r="B503" s="19"/>
      <c r="C503" s="19"/>
    </row>
    <row r="504">
      <c r="B504" s="19"/>
      <c r="C504" s="19"/>
    </row>
    <row r="505">
      <c r="B505" s="19"/>
      <c r="C505" s="19"/>
    </row>
    <row r="506">
      <c r="B506" s="19"/>
      <c r="C506" s="19"/>
    </row>
    <row r="507">
      <c r="B507" s="19"/>
      <c r="C507" s="19"/>
    </row>
    <row r="508">
      <c r="B508" s="19"/>
      <c r="C508" s="19"/>
    </row>
    <row r="509">
      <c r="B509" s="19"/>
      <c r="C509" s="19"/>
    </row>
    <row r="510">
      <c r="B510" s="19"/>
      <c r="C510" s="19"/>
    </row>
    <row r="511">
      <c r="B511" s="19"/>
      <c r="C511" s="19"/>
    </row>
    <row r="512">
      <c r="B512" s="19"/>
      <c r="C512" s="19"/>
    </row>
    <row r="513">
      <c r="B513" s="19"/>
      <c r="C513" s="19"/>
    </row>
    <row r="514">
      <c r="B514" s="19"/>
      <c r="C514" s="19"/>
    </row>
    <row r="515">
      <c r="B515" s="19"/>
      <c r="C515" s="19"/>
    </row>
    <row r="516">
      <c r="B516" s="19"/>
      <c r="C516" s="19"/>
    </row>
    <row r="517">
      <c r="B517" s="19"/>
      <c r="C517" s="19"/>
    </row>
    <row r="518">
      <c r="B518" s="19"/>
      <c r="C518" s="19"/>
    </row>
    <row r="519">
      <c r="B519" s="19"/>
      <c r="C519" s="19"/>
    </row>
    <row r="520">
      <c r="B520" s="19"/>
      <c r="C520" s="19"/>
    </row>
    <row r="521">
      <c r="B521" s="19"/>
      <c r="C521" s="19"/>
    </row>
    <row r="522">
      <c r="B522" s="19"/>
      <c r="C522" s="19"/>
    </row>
    <row r="523">
      <c r="B523" s="19"/>
      <c r="C523" s="19"/>
    </row>
    <row r="524">
      <c r="B524" s="19"/>
      <c r="C524" s="19"/>
    </row>
    <row r="525">
      <c r="B525" s="19"/>
      <c r="C525" s="19"/>
    </row>
    <row r="526">
      <c r="B526" s="19"/>
      <c r="C526" s="19"/>
    </row>
    <row r="527">
      <c r="B527" s="19"/>
      <c r="C527" s="19"/>
    </row>
    <row r="528">
      <c r="B528" s="19"/>
      <c r="C528" s="19"/>
    </row>
    <row r="529">
      <c r="B529" s="19"/>
      <c r="C529" s="19"/>
    </row>
    <row r="530">
      <c r="B530" s="19"/>
      <c r="C530" s="19"/>
    </row>
    <row r="531">
      <c r="B531" s="19"/>
      <c r="C531" s="19"/>
    </row>
    <row r="532">
      <c r="B532" s="19"/>
      <c r="C532" s="19"/>
    </row>
    <row r="533">
      <c r="B533" s="19"/>
      <c r="C533" s="19"/>
    </row>
    <row r="534">
      <c r="B534" s="19"/>
      <c r="C534" s="19"/>
    </row>
    <row r="535">
      <c r="B535" s="19"/>
      <c r="C535" s="19"/>
    </row>
    <row r="536">
      <c r="B536" s="19"/>
      <c r="C536" s="19"/>
    </row>
    <row r="537">
      <c r="B537" s="19"/>
      <c r="C537" s="19"/>
    </row>
    <row r="538">
      <c r="B538" s="19"/>
      <c r="C538" s="19"/>
    </row>
    <row r="539">
      <c r="B539" s="19"/>
      <c r="C539" s="19"/>
    </row>
    <row r="540">
      <c r="B540" s="19"/>
      <c r="C540" s="19"/>
    </row>
    <row r="541">
      <c r="B541" s="19"/>
      <c r="C541" s="19"/>
    </row>
    <row r="542">
      <c r="B542" s="19"/>
      <c r="C542" s="19"/>
    </row>
    <row r="543">
      <c r="B543" s="19"/>
      <c r="C543" s="19"/>
    </row>
    <row r="544">
      <c r="B544" s="19"/>
      <c r="C544" s="19"/>
    </row>
    <row r="545">
      <c r="B545" s="19"/>
      <c r="C545" s="19"/>
    </row>
    <row r="546">
      <c r="B546" s="19"/>
      <c r="C546" s="19"/>
    </row>
    <row r="547">
      <c r="B547" s="19"/>
      <c r="C547" s="19"/>
    </row>
    <row r="548">
      <c r="B548" s="19"/>
      <c r="C548" s="19"/>
    </row>
    <row r="549">
      <c r="B549" s="19"/>
      <c r="C549" s="19"/>
    </row>
    <row r="550">
      <c r="B550" s="19"/>
      <c r="C550" s="19"/>
    </row>
    <row r="551">
      <c r="B551" s="19"/>
      <c r="C551" s="19"/>
    </row>
    <row r="552">
      <c r="B552" s="19"/>
      <c r="C552" s="19"/>
    </row>
    <row r="553">
      <c r="B553" s="19"/>
      <c r="C553" s="19"/>
    </row>
    <row r="554">
      <c r="B554" s="19"/>
      <c r="C554" s="19"/>
    </row>
    <row r="555">
      <c r="B555" s="19"/>
      <c r="C555" s="19"/>
    </row>
    <row r="556">
      <c r="B556" s="19"/>
      <c r="C556" s="19"/>
    </row>
    <row r="557">
      <c r="B557" s="19"/>
      <c r="C557" s="19"/>
    </row>
    <row r="558">
      <c r="B558" s="19"/>
      <c r="C558" s="19"/>
    </row>
    <row r="559">
      <c r="B559" s="19"/>
      <c r="C559" s="19"/>
    </row>
    <row r="560">
      <c r="B560" s="19"/>
      <c r="C560" s="19"/>
    </row>
    <row r="561">
      <c r="B561" s="19"/>
      <c r="C561" s="19"/>
    </row>
    <row r="562">
      <c r="B562" s="19"/>
      <c r="C562" s="19"/>
    </row>
    <row r="563">
      <c r="B563" s="19"/>
      <c r="C563" s="19"/>
    </row>
    <row r="564">
      <c r="B564" s="19"/>
      <c r="C564" s="19"/>
    </row>
    <row r="565">
      <c r="B565" s="19"/>
      <c r="C565" s="19"/>
    </row>
    <row r="566">
      <c r="B566" s="19"/>
      <c r="C566" s="19"/>
    </row>
    <row r="567">
      <c r="B567" s="19"/>
      <c r="C567" s="19"/>
    </row>
    <row r="568">
      <c r="B568" s="19"/>
      <c r="C568" s="19"/>
    </row>
    <row r="569">
      <c r="B569" s="19"/>
      <c r="C569" s="19"/>
    </row>
    <row r="570">
      <c r="B570" s="19"/>
      <c r="C570" s="19"/>
    </row>
    <row r="571">
      <c r="B571" s="19"/>
      <c r="C571" s="19"/>
    </row>
    <row r="572">
      <c r="B572" s="19"/>
      <c r="C572" s="19"/>
    </row>
    <row r="573">
      <c r="B573" s="19"/>
      <c r="C573" s="19"/>
    </row>
    <row r="574">
      <c r="B574" s="19"/>
      <c r="C574" s="19"/>
    </row>
    <row r="575">
      <c r="B575" s="19"/>
      <c r="C575" s="19"/>
    </row>
    <row r="576">
      <c r="B576" s="19"/>
      <c r="C576" s="19"/>
    </row>
    <row r="577">
      <c r="B577" s="19"/>
      <c r="C577" s="19"/>
    </row>
    <row r="578">
      <c r="B578" s="19"/>
      <c r="C578" s="19"/>
    </row>
    <row r="579">
      <c r="B579" s="19"/>
      <c r="C579" s="19"/>
    </row>
    <row r="580">
      <c r="B580" s="19"/>
      <c r="C580" s="19"/>
    </row>
    <row r="581">
      <c r="B581" s="19"/>
      <c r="C581" s="19"/>
    </row>
    <row r="582">
      <c r="B582" s="19"/>
      <c r="C582" s="19"/>
    </row>
    <row r="583">
      <c r="B583" s="19"/>
      <c r="C583" s="19"/>
    </row>
    <row r="584">
      <c r="B584" s="19"/>
      <c r="C584" s="19"/>
    </row>
    <row r="585">
      <c r="B585" s="19"/>
      <c r="C585" s="19"/>
    </row>
    <row r="586">
      <c r="B586" s="19"/>
      <c r="C586" s="19"/>
    </row>
    <row r="587">
      <c r="B587" s="19"/>
      <c r="C587" s="19"/>
    </row>
    <row r="588">
      <c r="B588" s="19"/>
      <c r="C588" s="19"/>
    </row>
    <row r="589">
      <c r="B589" s="19"/>
      <c r="C589" s="19"/>
    </row>
    <row r="590">
      <c r="B590" s="19"/>
      <c r="C590" s="19"/>
    </row>
    <row r="591">
      <c r="B591" s="19"/>
      <c r="C591" s="19"/>
    </row>
    <row r="592">
      <c r="B592" s="19"/>
      <c r="C592" s="19"/>
    </row>
    <row r="593">
      <c r="B593" s="19"/>
      <c r="C593" s="19"/>
    </row>
    <row r="594">
      <c r="B594" s="19"/>
      <c r="C594" s="19"/>
    </row>
    <row r="595">
      <c r="B595" s="19"/>
      <c r="C595" s="19"/>
    </row>
    <row r="596">
      <c r="B596" s="19"/>
      <c r="C596" s="19"/>
    </row>
    <row r="597">
      <c r="B597" s="19"/>
      <c r="C597" s="19"/>
    </row>
    <row r="598">
      <c r="B598" s="19"/>
      <c r="C598" s="19"/>
    </row>
    <row r="599">
      <c r="B599" s="19"/>
      <c r="C599" s="19"/>
    </row>
    <row r="600">
      <c r="B600" s="19"/>
      <c r="C600" s="19"/>
    </row>
    <row r="601">
      <c r="B601" s="19"/>
      <c r="C601" s="19"/>
    </row>
    <row r="602">
      <c r="B602" s="19"/>
      <c r="C602" s="19"/>
    </row>
    <row r="603">
      <c r="B603" s="19"/>
      <c r="C603" s="19"/>
    </row>
    <row r="604">
      <c r="B604" s="19"/>
      <c r="C604" s="19"/>
    </row>
    <row r="605">
      <c r="B605" s="19"/>
      <c r="C605" s="19"/>
    </row>
    <row r="606">
      <c r="B606" s="19"/>
      <c r="C606" s="19"/>
    </row>
    <row r="607">
      <c r="B607" s="19"/>
      <c r="C607" s="19"/>
    </row>
    <row r="608">
      <c r="B608" s="19"/>
      <c r="C608" s="19"/>
    </row>
    <row r="609">
      <c r="B609" s="19"/>
      <c r="C609" s="19"/>
    </row>
    <row r="610">
      <c r="B610" s="19"/>
      <c r="C610" s="19"/>
    </row>
    <row r="611">
      <c r="B611" s="19"/>
      <c r="C611" s="19"/>
    </row>
    <row r="612">
      <c r="B612" s="19"/>
      <c r="C612" s="19"/>
    </row>
    <row r="613">
      <c r="B613" s="19"/>
      <c r="C613" s="19"/>
    </row>
    <row r="614">
      <c r="B614" s="19"/>
      <c r="C614" s="19"/>
    </row>
    <row r="615">
      <c r="B615" s="19"/>
      <c r="C615" s="19"/>
    </row>
    <row r="616">
      <c r="B616" s="19"/>
      <c r="C616" s="19"/>
    </row>
    <row r="617">
      <c r="B617" s="19"/>
      <c r="C617" s="19"/>
    </row>
    <row r="618">
      <c r="B618" s="19"/>
      <c r="C618" s="19"/>
    </row>
    <row r="619">
      <c r="B619" s="19"/>
      <c r="C619" s="19"/>
    </row>
    <row r="620">
      <c r="B620" s="19"/>
      <c r="C620" s="19"/>
    </row>
    <row r="621">
      <c r="B621" s="19"/>
      <c r="C621" s="19"/>
    </row>
    <row r="622">
      <c r="B622" s="19"/>
      <c r="C622" s="19"/>
    </row>
    <row r="623">
      <c r="B623" s="19"/>
      <c r="C623" s="19"/>
    </row>
    <row r="624">
      <c r="B624" s="19"/>
      <c r="C624" s="19"/>
    </row>
    <row r="625">
      <c r="B625" s="19"/>
      <c r="C625" s="19"/>
    </row>
    <row r="626">
      <c r="B626" s="19"/>
      <c r="C626" s="19"/>
    </row>
    <row r="627">
      <c r="B627" s="19"/>
      <c r="C627" s="19"/>
    </row>
    <row r="628">
      <c r="B628" s="19"/>
      <c r="C628" s="19"/>
    </row>
    <row r="629">
      <c r="B629" s="19"/>
      <c r="C629" s="19"/>
    </row>
    <row r="630">
      <c r="B630" s="19"/>
      <c r="C630" s="19"/>
    </row>
    <row r="631">
      <c r="B631" s="19"/>
      <c r="C631" s="19"/>
    </row>
    <row r="632">
      <c r="B632" s="19"/>
      <c r="C632" s="19"/>
    </row>
    <row r="633">
      <c r="B633" s="19"/>
      <c r="C633" s="19"/>
    </row>
    <row r="634">
      <c r="B634" s="19"/>
      <c r="C634" s="19"/>
    </row>
    <row r="635">
      <c r="B635" s="19"/>
      <c r="C635" s="19"/>
    </row>
    <row r="636">
      <c r="B636" s="19"/>
      <c r="C636" s="19"/>
    </row>
    <row r="637">
      <c r="B637" s="19"/>
      <c r="C637" s="19"/>
    </row>
    <row r="638">
      <c r="B638" s="19"/>
      <c r="C638" s="19"/>
    </row>
    <row r="639">
      <c r="B639" s="19"/>
      <c r="C639" s="19"/>
    </row>
    <row r="640">
      <c r="B640" s="19"/>
      <c r="C640" s="19"/>
    </row>
    <row r="641">
      <c r="B641" s="19"/>
      <c r="C641" s="19"/>
    </row>
    <row r="642">
      <c r="B642" s="19"/>
      <c r="C642" s="19"/>
    </row>
    <row r="643">
      <c r="B643" s="19"/>
      <c r="C643" s="19"/>
    </row>
    <row r="644">
      <c r="B644" s="19"/>
      <c r="C644" s="19"/>
    </row>
    <row r="645">
      <c r="B645" s="19"/>
      <c r="C645" s="19"/>
    </row>
    <row r="646">
      <c r="B646" s="19"/>
      <c r="C646" s="19"/>
    </row>
    <row r="647">
      <c r="B647" s="19"/>
      <c r="C647" s="19"/>
    </row>
    <row r="648">
      <c r="B648" s="19"/>
      <c r="C648" s="19"/>
    </row>
    <row r="649">
      <c r="B649" s="19"/>
      <c r="C649" s="19"/>
    </row>
    <row r="650">
      <c r="B650" s="19"/>
      <c r="C650" s="19"/>
    </row>
    <row r="651">
      <c r="B651" s="19"/>
      <c r="C651" s="19"/>
    </row>
    <row r="652">
      <c r="B652" s="19"/>
      <c r="C652" s="19"/>
    </row>
    <row r="653">
      <c r="B653" s="19"/>
      <c r="C653" s="19"/>
    </row>
    <row r="654">
      <c r="B654" s="19"/>
      <c r="C654" s="19"/>
    </row>
    <row r="655">
      <c r="B655" s="19"/>
      <c r="C655" s="19"/>
    </row>
    <row r="656">
      <c r="B656" s="19"/>
      <c r="C656" s="19"/>
    </row>
    <row r="657">
      <c r="B657" s="19"/>
      <c r="C657" s="19"/>
    </row>
    <row r="658">
      <c r="B658" s="19"/>
      <c r="C658" s="19"/>
    </row>
    <row r="659">
      <c r="B659" s="19"/>
      <c r="C659" s="19"/>
    </row>
    <row r="660">
      <c r="B660" s="19"/>
      <c r="C660" s="19"/>
    </row>
    <row r="661">
      <c r="B661" s="19"/>
      <c r="C661" s="19"/>
    </row>
    <row r="662">
      <c r="B662" s="19"/>
      <c r="C662" s="19"/>
    </row>
    <row r="663">
      <c r="B663" s="19"/>
      <c r="C663" s="19"/>
    </row>
    <row r="664">
      <c r="B664" s="19"/>
      <c r="C664" s="19"/>
    </row>
    <row r="665">
      <c r="B665" s="19"/>
      <c r="C665" s="19"/>
    </row>
    <row r="666">
      <c r="B666" s="19"/>
      <c r="C666" s="19"/>
    </row>
    <row r="667">
      <c r="B667" s="19"/>
      <c r="C667" s="19"/>
    </row>
    <row r="668">
      <c r="B668" s="19"/>
      <c r="C668" s="19"/>
    </row>
    <row r="669">
      <c r="B669" s="19"/>
      <c r="C669" s="19"/>
    </row>
    <row r="670">
      <c r="B670" s="19"/>
      <c r="C670" s="19"/>
    </row>
    <row r="671">
      <c r="B671" s="19"/>
      <c r="C671" s="19"/>
    </row>
    <row r="672">
      <c r="B672" s="19"/>
      <c r="C672" s="19"/>
    </row>
    <row r="673">
      <c r="B673" s="19"/>
      <c r="C673" s="19"/>
    </row>
    <row r="674">
      <c r="B674" s="19"/>
      <c r="C674" s="19"/>
    </row>
    <row r="675">
      <c r="B675" s="19"/>
      <c r="C675" s="19"/>
    </row>
    <row r="676">
      <c r="B676" s="19"/>
      <c r="C676" s="19"/>
    </row>
    <row r="677">
      <c r="B677" s="19"/>
      <c r="C677" s="19"/>
    </row>
    <row r="678">
      <c r="B678" s="19"/>
      <c r="C678" s="19"/>
    </row>
    <row r="679">
      <c r="B679" s="19"/>
      <c r="C679" s="19"/>
    </row>
    <row r="680">
      <c r="B680" s="19"/>
      <c r="C680" s="19"/>
    </row>
    <row r="681">
      <c r="B681" s="19"/>
      <c r="C681" s="19"/>
    </row>
    <row r="682">
      <c r="B682" s="19"/>
      <c r="C682" s="19"/>
    </row>
    <row r="683">
      <c r="B683" s="19"/>
      <c r="C683" s="19"/>
    </row>
    <row r="684">
      <c r="B684" s="19"/>
      <c r="C684" s="19"/>
    </row>
    <row r="685">
      <c r="B685" s="19"/>
      <c r="C685" s="19"/>
    </row>
    <row r="686">
      <c r="B686" s="19"/>
      <c r="C686" s="19"/>
    </row>
    <row r="687">
      <c r="B687" s="19"/>
      <c r="C687" s="19"/>
    </row>
    <row r="688">
      <c r="B688" s="19"/>
      <c r="C688" s="19"/>
    </row>
    <row r="689">
      <c r="B689" s="19"/>
      <c r="C689" s="19"/>
    </row>
    <row r="690">
      <c r="B690" s="19"/>
      <c r="C690" s="19"/>
    </row>
    <row r="691">
      <c r="B691" s="19"/>
      <c r="C691" s="19"/>
    </row>
    <row r="692">
      <c r="B692" s="19"/>
      <c r="C692" s="19"/>
    </row>
    <row r="693">
      <c r="B693" s="19"/>
      <c r="C693" s="19"/>
    </row>
    <row r="694">
      <c r="B694" s="19"/>
      <c r="C694" s="19"/>
    </row>
    <row r="695">
      <c r="B695" s="19"/>
      <c r="C695" s="19"/>
    </row>
    <row r="696">
      <c r="B696" s="19"/>
      <c r="C696" s="19"/>
    </row>
    <row r="697">
      <c r="B697" s="19"/>
      <c r="C697" s="19"/>
    </row>
    <row r="698">
      <c r="B698" s="19"/>
      <c r="C698" s="19"/>
    </row>
    <row r="699">
      <c r="B699" s="19"/>
      <c r="C699" s="19"/>
    </row>
    <row r="700">
      <c r="B700" s="19"/>
      <c r="C700" s="19"/>
    </row>
    <row r="701">
      <c r="B701" s="19"/>
      <c r="C701" s="19"/>
    </row>
    <row r="702">
      <c r="B702" s="19"/>
      <c r="C702" s="19"/>
    </row>
    <row r="703">
      <c r="B703" s="19"/>
      <c r="C703" s="19"/>
    </row>
    <row r="704">
      <c r="B704" s="19"/>
      <c r="C704" s="19"/>
    </row>
    <row r="705">
      <c r="B705" s="19"/>
      <c r="C705" s="19"/>
    </row>
    <row r="706">
      <c r="B706" s="19"/>
      <c r="C706" s="19"/>
    </row>
    <row r="707">
      <c r="B707" s="19"/>
      <c r="C707" s="19"/>
    </row>
    <row r="708">
      <c r="B708" s="19"/>
      <c r="C708" s="19"/>
    </row>
    <row r="709">
      <c r="B709" s="19"/>
      <c r="C709" s="19"/>
    </row>
    <row r="710">
      <c r="B710" s="19"/>
      <c r="C710" s="19"/>
    </row>
    <row r="711">
      <c r="B711" s="19"/>
      <c r="C711" s="19"/>
    </row>
    <row r="712">
      <c r="B712" s="19"/>
      <c r="C712" s="19"/>
    </row>
    <row r="713">
      <c r="B713" s="19"/>
      <c r="C713" s="19"/>
    </row>
    <row r="714">
      <c r="B714" s="19"/>
      <c r="C714" s="19"/>
    </row>
    <row r="715">
      <c r="B715" s="19"/>
      <c r="C715" s="19"/>
    </row>
    <row r="716">
      <c r="B716" s="19"/>
      <c r="C716" s="19"/>
    </row>
    <row r="717">
      <c r="B717" s="19"/>
      <c r="C717" s="19"/>
    </row>
    <row r="718">
      <c r="B718" s="19"/>
      <c r="C718" s="19"/>
    </row>
    <row r="719">
      <c r="B719" s="19"/>
      <c r="C719" s="19"/>
    </row>
    <row r="720">
      <c r="B720" s="19"/>
      <c r="C720" s="19"/>
    </row>
    <row r="721">
      <c r="B721" s="19"/>
      <c r="C721" s="19"/>
    </row>
    <row r="722">
      <c r="B722" s="19"/>
      <c r="C722" s="19"/>
    </row>
    <row r="723">
      <c r="B723" s="19"/>
      <c r="C723" s="19"/>
    </row>
    <row r="724">
      <c r="B724" s="19"/>
      <c r="C724" s="19"/>
    </row>
    <row r="725">
      <c r="B725" s="19"/>
      <c r="C725" s="19"/>
    </row>
    <row r="726">
      <c r="B726" s="19"/>
      <c r="C726" s="19"/>
    </row>
    <row r="727">
      <c r="B727" s="19"/>
      <c r="C727" s="19"/>
    </row>
    <row r="728">
      <c r="B728" s="19"/>
      <c r="C728" s="19"/>
    </row>
    <row r="729">
      <c r="B729" s="19"/>
      <c r="C729" s="19"/>
    </row>
    <row r="730">
      <c r="B730" s="19"/>
      <c r="C730" s="19"/>
    </row>
    <row r="731">
      <c r="B731" s="19"/>
      <c r="C731" s="19"/>
    </row>
    <row r="732">
      <c r="B732" s="19"/>
      <c r="C732" s="19"/>
    </row>
    <row r="733">
      <c r="B733" s="19"/>
      <c r="C733" s="19"/>
    </row>
    <row r="734">
      <c r="B734" s="19"/>
      <c r="C734" s="19"/>
    </row>
    <row r="735">
      <c r="B735" s="19"/>
      <c r="C735" s="19"/>
    </row>
    <row r="736">
      <c r="B736" s="19"/>
      <c r="C736" s="19"/>
    </row>
    <row r="737">
      <c r="B737" s="19"/>
      <c r="C737" s="19"/>
    </row>
    <row r="738">
      <c r="B738" s="19"/>
      <c r="C738" s="19"/>
    </row>
    <row r="739">
      <c r="B739" s="19"/>
      <c r="C739" s="19"/>
    </row>
    <row r="740">
      <c r="B740" s="19"/>
      <c r="C740" s="19"/>
    </row>
    <row r="741">
      <c r="B741" s="19"/>
      <c r="C741" s="19"/>
    </row>
    <row r="742">
      <c r="B742" s="19"/>
      <c r="C742" s="19"/>
    </row>
    <row r="743">
      <c r="B743" s="19"/>
      <c r="C743" s="19"/>
    </row>
    <row r="744">
      <c r="B744" s="19"/>
      <c r="C744" s="19"/>
    </row>
    <row r="745">
      <c r="B745" s="19"/>
      <c r="C745" s="19"/>
    </row>
    <row r="746">
      <c r="B746" s="19"/>
      <c r="C746" s="19"/>
    </row>
    <row r="747">
      <c r="B747" s="19"/>
      <c r="C747" s="19"/>
    </row>
    <row r="748">
      <c r="B748" s="19"/>
      <c r="C748" s="19"/>
    </row>
    <row r="749">
      <c r="B749" s="19"/>
      <c r="C749" s="19"/>
    </row>
    <row r="750">
      <c r="B750" s="19"/>
      <c r="C750" s="19"/>
    </row>
    <row r="751">
      <c r="B751" s="19"/>
      <c r="C751" s="19"/>
    </row>
    <row r="752">
      <c r="B752" s="19"/>
      <c r="C752" s="19"/>
    </row>
    <row r="753">
      <c r="B753" s="19"/>
      <c r="C753" s="19"/>
    </row>
    <row r="754">
      <c r="B754" s="19"/>
      <c r="C754" s="19"/>
    </row>
    <row r="755">
      <c r="B755" s="19"/>
      <c r="C755" s="19"/>
    </row>
    <row r="756">
      <c r="B756" s="19"/>
      <c r="C756" s="19"/>
    </row>
    <row r="757">
      <c r="B757" s="19"/>
      <c r="C757" s="19"/>
    </row>
    <row r="758">
      <c r="B758" s="19"/>
      <c r="C758" s="19"/>
    </row>
    <row r="759">
      <c r="B759" s="19"/>
      <c r="C759" s="19"/>
    </row>
    <row r="760">
      <c r="B760" s="19"/>
      <c r="C760" s="19"/>
    </row>
    <row r="761">
      <c r="B761" s="19"/>
      <c r="C761" s="19"/>
    </row>
    <row r="762">
      <c r="B762" s="19"/>
      <c r="C762" s="19"/>
    </row>
    <row r="763">
      <c r="B763" s="19"/>
      <c r="C763" s="19"/>
    </row>
    <row r="764">
      <c r="B764" s="19"/>
      <c r="C764" s="19"/>
    </row>
    <row r="765">
      <c r="B765" s="19"/>
      <c r="C765" s="19"/>
    </row>
    <row r="766">
      <c r="B766" s="19"/>
      <c r="C766" s="19"/>
    </row>
    <row r="767">
      <c r="B767" s="19"/>
      <c r="C767" s="19"/>
    </row>
    <row r="768">
      <c r="B768" s="19"/>
      <c r="C768" s="19"/>
    </row>
    <row r="769">
      <c r="B769" s="19"/>
      <c r="C769" s="19"/>
    </row>
    <row r="770">
      <c r="B770" s="19"/>
      <c r="C770" s="19"/>
    </row>
    <row r="771">
      <c r="B771" s="19"/>
      <c r="C771" s="19"/>
    </row>
    <row r="772">
      <c r="B772" s="19"/>
      <c r="C772" s="19"/>
    </row>
    <row r="773">
      <c r="B773" s="19"/>
      <c r="C773" s="19"/>
    </row>
    <row r="774">
      <c r="B774" s="19"/>
      <c r="C774" s="19"/>
    </row>
    <row r="775">
      <c r="B775" s="19"/>
      <c r="C775" s="19"/>
    </row>
    <row r="776">
      <c r="B776" s="19"/>
      <c r="C776" s="19"/>
    </row>
    <row r="777">
      <c r="B777" s="19"/>
      <c r="C777" s="19"/>
    </row>
    <row r="778">
      <c r="B778" s="19"/>
      <c r="C778" s="19"/>
    </row>
    <row r="779">
      <c r="B779" s="19"/>
      <c r="C779" s="19"/>
    </row>
    <row r="780">
      <c r="B780" s="19"/>
      <c r="C780" s="19"/>
    </row>
    <row r="781">
      <c r="B781" s="19"/>
      <c r="C781" s="19"/>
    </row>
    <row r="782">
      <c r="B782" s="19"/>
      <c r="C782" s="19"/>
    </row>
    <row r="783">
      <c r="B783" s="19"/>
      <c r="C783" s="19"/>
    </row>
    <row r="784">
      <c r="B784" s="19"/>
      <c r="C784" s="19"/>
    </row>
    <row r="785">
      <c r="B785" s="19"/>
      <c r="C785" s="19"/>
    </row>
    <row r="786">
      <c r="B786" s="19"/>
      <c r="C786" s="19"/>
    </row>
    <row r="787">
      <c r="B787" s="19"/>
      <c r="C787" s="19"/>
    </row>
    <row r="788">
      <c r="B788" s="19"/>
      <c r="C788" s="19"/>
    </row>
    <row r="789">
      <c r="B789" s="19"/>
      <c r="C789" s="19"/>
    </row>
    <row r="790">
      <c r="B790" s="19"/>
      <c r="C790" s="19"/>
    </row>
    <row r="791">
      <c r="B791" s="19"/>
      <c r="C791" s="19"/>
    </row>
    <row r="792">
      <c r="B792" s="19"/>
      <c r="C792" s="19"/>
    </row>
    <row r="793">
      <c r="B793" s="19"/>
      <c r="C793" s="19"/>
    </row>
    <row r="794">
      <c r="B794" s="19"/>
      <c r="C794" s="19"/>
    </row>
    <row r="795">
      <c r="B795" s="19"/>
      <c r="C795" s="19"/>
    </row>
    <row r="796">
      <c r="B796" s="19"/>
      <c r="C796" s="19"/>
    </row>
    <row r="797">
      <c r="B797" s="19"/>
      <c r="C797" s="19"/>
    </row>
    <row r="798">
      <c r="B798" s="19"/>
      <c r="C798" s="19"/>
    </row>
    <row r="799">
      <c r="B799" s="19"/>
      <c r="C799" s="19"/>
    </row>
    <row r="800">
      <c r="B800" s="19"/>
      <c r="C800" s="19"/>
    </row>
    <row r="801">
      <c r="B801" s="19"/>
      <c r="C801" s="19"/>
    </row>
    <row r="802">
      <c r="B802" s="19"/>
      <c r="C802" s="19"/>
    </row>
    <row r="803">
      <c r="B803" s="19"/>
      <c r="C803" s="19"/>
    </row>
    <row r="804">
      <c r="B804" s="19"/>
      <c r="C804" s="19"/>
    </row>
    <row r="805">
      <c r="B805" s="19"/>
      <c r="C805" s="19"/>
    </row>
    <row r="806">
      <c r="B806" s="19"/>
      <c r="C806" s="19"/>
    </row>
    <row r="807">
      <c r="B807" s="19"/>
      <c r="C807" s="19"/>
    </row>
    <row r="808">
      <c r="B808" s="19"/>
      <c r="C808" s="19"/>
    </row>
    <row r="809">
      <c r="B809" s="19"/>
      <c r="C809" s="19"/>
    </row>
    <row r="810">
      <c r="B810" s="19"/>
      <c r="C810" s="19"/>
    </row>
    <row r="811">
      <c r="B811" s="19"/>
      <c r="C811" s="19"/>
    </row>
    <row r="812">
      <c r="B812" s="19"/>
      <c r="C812" s="19"/>
    </row>
    <row r="813">
      <c r="B813" s="19"/>
      <c r="C813" s="19"/>
    </row>
    <row r="814">
      <c r="B814" s="19"/>
      <c r="C814" s="19"/>
    </row>
    <row r="815">
      <c r="B815" s="19"/>
      <c r="C815" s="19"/>
    </row>
    <row r="816">
      <c r="B816" s="19"/>
      <c r="C816" s="19"/>
    </row>
    <row r="817">
      <c r="B817" s="19"/>
      <c r="C817" s="19"/>
    </row>
    <row r="818">
      <c r="B818" s="19"/>
      <c r="C818" s="19"/>
    </row>
    <row r="819">
      <c r="B819" s="19"/>
      <c r="C819" s="19"/>
    </row>
    <row r="820">
      <c r="B820" s="19"/>
      <c r="C820" s="19"/>
    </row>
    <row r="821">
      <c r="B821" s="19"/>
      <c r="C821" s="19"/>
    </row>
    <row r="822">
      <c r="B822" s="19"/>
      <c r="C822" s="19"/>
    </row>
    <row r="823">
      <c r="B823" s="19"/>
      <c r="C823" s="19"/>
    </row>
    <row r="824">
      <c r="B824" s="19"/>
      <c r="C824" s="19"/>
    </row>
    <row r="825">
      <c r="B825" s="19"/>
      <c r="C825" s="19"/>
    </row>
    <row r="826">
      <c r="B826" s="19"/>
      <c r="C826" s="19"/>
    </row>
    <row r="827">
      <c r="B827" s="19"/>
      <c r="C827" s="19"/>
    </row>
    <row r="828">
      <c r="B828" s="19"/>
      <c r="C828" s="19"/>
    </row>
    <row r="829">
      <c r="B829" s="19"/>
      <c r="C829" s="19"/>
    </row>
    <row r="830">
      <c r="B830" s="19"/>
      <c r="C830" s="19"/>
    </row>
    <row r="831">
      <c r="B831" s="19"/>
      <c r="C831" s="19"/>
    </row>
    <row r="832">
      <c r="B832" s="19"/>
      <c r="C832" s="19"/>
    </row>
    <row r="833">
      <c r="B833" s="19"/>
      <c r="C833" s="19"/>
    </row>
    <row r="834">
      <c r="B834" s="19"/>
      <c r="C834" s="19"/>
    </row>
    <row r="835">
      <c r="B835" s="19"/>
      <c r="C835" s="19"/>
    </row>
    <row r="836">
      <c r="B836" s="19"/>
      <c r="C836" s="19"/>
    </row>
    <row r="837">
      <c r="B837" s="19"/>
      <c r="C837" s="19"/>
    </row>
    <row r="838">
      <c r="B838" s="19"/>
      <c r="C838" s="19"/>
    </row>
    <row r="839">
      <c r="B839" s="19"/>
      <c r="C839" s="19"/>
    </row>
    <row r="840">
      <c r="B840" s="19"/>
      <c r="C840" s="19"/>
    </row>
    <row r="841">
      <c r="B841" s="19"/>
      <c r="C841" s="19"/>
    </row>
    <row r="842">
      <c r="B842" s="19"/>
      <c r="C842" s="19"/>
    </row>
    <row r="843">
      <c r="B843" s="19"/>
      <c r="C843" s="19"/>
    </row>
    <row r="844">
      <c r="B844" s="19"/>
      <c r="C844" s="19"/>
    </row>
    <row r="845">
      <c r="B845" s="19"/>
      <c r="C845" s="19"/>
    </row>
    <row r="846">
      <c r="B846" s="19"/>
      <c r="C846" s="19"/>
    </row>
    <row r="847">
      <c r="B847" s="19"/>
      <c r="C847" s="19"/>
    </row>
    <row r="848">
      <c r="B848" s="19"/>
      <c r="C848" s="19"/>
    </row>
    <row r="849">
      <c r="B849" s="19"/>
      <c r="C849" s="19"/>
    </row>
    <row r="850">
      <c r="B850" s="19"/>
      <c r="C850" s="19"/>
    </row>
    <row r="851">
      <c r="B851" s="19"/>
      <c r="C851" s="19"/>
    </row>
    <row r="852">
      <c r="B852" s="19"/>
      <c r="C852" s="19"/>
    </row>
    <row r="853">
      <c r="B853" s="19"/>
      <c r="C853" s="19"/>
    </row>
    <row r="854">
      <c r="B854" s="19"/>
      <c r="C854" s="19"/>
    </row>
    <row r="855">
      <c r="B855" s="19"/>
      <c r="C855" s="19"/>
    </row>
    <row r="856">
      <c r="B856" s="19"/>
      <c r="C856" s="19"/>
    </row>
    <row r="857">
      <c r="B857" s="19"/>
      <c r="C857" s="19"/>
    </row>
    <row r="858">
      <c r="B858" s="19"/>
      <c r="C858" s="19"/>
    </row>
    <row r="859">
      <c r="B859" s="19"/>
      <c r="C859" s="19"/>
    </row>
    <row r="860">
      <c r="B860" s="19"/>
      <c r="C860" s="19"/>
    </row>
    <row r="861">
      <c r="B861" s="19"/>
      <c r="C861" s="19"/>
    </row>
    <row r="862">
      <c r="B862" s="19"/>
      <c r="C862" s="19"/>
    </row>
    <row r="863">
      <c r="B863" s="19"/>
      <c r="C863" s="19"/>
    </row>
    <row r="864">
      <c r="B864" s="19"/>
      <c r="C864" s="19"/>
    </row>
    <row r="865">
      <c r="B865" s="19"/>
      <c r="C865" s="19"/>
    </row>
    <row r="866">
      <c r="B866" s="19"/>
      <c r="C866" s="19"/>
    </row>
    <row r="867">
      <c r="B867" s="19"/>
      <c r="C867" s="19"/>
    </row>
    <row r="868">
      <c r="B868" s="19"/>
      <c r="C868" s="19"/>
    </row>
    <row r="869">
      <c r="B869" s="19"/>
      <c r="C869" s="19"/>
    </row>
    <row r="870">
      <c r="B870" s="19"/>
      <c r="C870" s="19"/>
    </row>
    <row r="871">
      <c r="B871" s="19"/>
      <c r="C871" s="19"/>
    </row>
    <row r="872">
      <c r="B872" s="19"/>
      <c r="C872" s="19"/>
    </row>
    <row r="873">
      <c r="B873" s="19"/>
      <c r="C873" s="19"/>
    </row>
    <row r="874">
      <c r="B874" s="19"/>
      <c r="C874" s="19"/>
    </row>
    <row r="875">
      <c r="B875" s="19"/>
      <c r="C875" s="19"/>
    </row>
    <row r="876">
      <c r="B876" s="19"/>
      <c r="C876" s="19"/>
    </row>
    <row r="877">
      <c r="B877" s="19"/>
      <c r="C877" s="19"/>
    </row>
    <row r="878">
      <c r="B878" s="19"/>
      <c r="C878" s="19"/>
    </row>
    <row r="879">
      <c r="B879" s="19"/>
      <c r="C879" s="19"/>
    </row>
    <row r="880">
      <c r="B880" s="19"/>
      <c r="C880" s="19"/>
    </row>
    <row r="881">
      <c r="B881" s="19"/>
      <c r="C881" s="19"/>
    </row>
    <row r="882">
      <c r="B882" s="19"/>
      <c r="C882" s="19"/>
    </row>
    <row r="883">
      <c r="B883" s="19"/>
      <c r="C883" s="19"/>
    </row>
    <row r="884">
      <c r="B884" s="19"/>
      <c r="C884" s="19"/>
    </row>
    <row r="885">
      <c r="B885" s="19"/>
      <c r="C885" s="19"/>
    </row>
    <row r="886">
      <c r="B886" s="19"/>
      <c r="C886" s="19"/>
    </row>
    <row r="887">
      <c r="B887" s="19"/>
      <c r="C887" s="19"/>
    </row>
    <row r="888">
      <c r="B888" s="19"/>
      <c r="C888" s="19"/>
    </row>
    <row r="889">
      <c r="B889" s="19"/>
      <c r="C889" s="19"/>
    </row>
    <row r="890">
      <c r="B890" s="19"/>
      <c r="C890" s="19"/>
    </row>
    <row r="891">
      <c r="B891" s="19"/>
      <c r="C891" s="19"/>
    </row>
    <row r="892">
      <c r="B892" s="19"/>
      <c r="C892" s="19"/>
    </row>
    <row r="893">
      <c r="B893" s="19"/>
      <c r="C893" s="19"/>
    </row>
    <row r="894">
      <c r="B894" s="19"/>
      <c r="C894" s="19"/>
    </row>
    <row r="895">
      <c r="B895" s="19"/>
      <c r="C895" s="19"/>
    </row>
    <row r="896">
      <c r="B896" s="19"/>
      <c r="C896" s="19"/>
    </row>
    <row r="897">
      <c r="B897" s="19"/>
      <c r="C897" s="19"/>
    </row>
    <row r="898">
      <c r="B898" s="19"/>
      <c r="C898" s="19"/>
    </row>
    <row r="899">
      <c r="B899" s="19"/>
      <c r="C899" s="19"/>
    </row>
    <row r="900">
      <c r="B900" s="19"/>
      <c r="C900" s="19"/>
    </row>
    <row r="901">
      <c r="B901" s="19"/>
      <c r="C901" s="19"/>
    </row>
    <row r="902">
      <c r="B902" s="19"/>
      <c r="C902" s="19"/>
    </row>
    <row r="903">
      <c r="B903" s="19"/>
      <c r="C903" s="19"/>
    </row>
    <row r="904">
      <c r="B904" s="19"/>
      <c r="C904" s="19"/>
    </row>
    <row r="905">
      <c r="B905" s="19"/>
      <c r="C905" s="19"/>
    </row>
    <row r="906">
      <c r="B906" s="19"/>
      <c r="C906" s="19"/>
    </row>
    <row r="907">
      <c r="B907" s="19"/>
      <c r="C907" s="19"/>
    </row>
    <row r="908">
      <c r="B908" s="19"/>
      <c r="C908" s="19"/>
    </row>
    <row r="909">
      <c r="B909" s="19"/>
      <c r="C909" s="19"/>
    </row>
    <row r="910">
      <c r="B910" s="19"/>
      <c r="C910" s="19"/>
    </row>
    <row r="911">
      <c r="B911" s="19"/>
      <c r="C911" s="19"/>
    </row>
    <row r="912">
      <c r="B912" s="19"/>
      <c r="C912" s="19"/>
    </row>
    <row r="913">
      <c r="B913" s="19"/>
      <c r="C913" s="19"/>
    </row>
    <row r="914">
      <c r="B914" s="19"/>
      <c r="C914" s="19"/>
    </row>
    <row r="915">
      <c r="B915" s="19"/>
      <c r="C915" s="19"/>
    </row>
    <row r="916">
      <c r="B916" s="19"/>
      <c r="C916" s="19"/>
    </row>
    <row r="917">
      <c r="B917" s="19"/>
      <c r="C917" s="19"/>
    </row>
    <row r="918">
      <c r="B918" s="19"/>
      <c r="C918" s="19"/>
    </row>
    <row r="919">
      <c r="B919" s="19"/>
      <c r="C919" s="19"/>
    </row>
    <row r="920">
      <c r="B920" s="19"/>
      <c r="C920" s="19"/>
    </row>
    <row r="921">
      <c r="B921" s="19"/>
      <c r="C921" s="19"/>
    </row>
    <row r="922">
      <c r="B922" s="19"/>
      <c r="C922" s="19"/>
    </row>
    <row r="923">
      <c r="B923" s="19"/>
      <c r="C923" s="19"/>
    </row>
    <row r="924">
      <c r="B924" s="19"/>
      <c r="C924" s="19"/>
    </row>
    <row r="925">
      <c r="B925" s="19"/>
      <c r="C925" s="19"/>
    </row>
    <row r="926">
      <c r="B926" s="19"/>
      <c r="C926" s="19"/>
    </row>
    <row r="927">
      <c r="B927" s="19"/>
      <c r="C927" s="19"/>
    </row>
    <row r="928">
      <c r="B928" s="19"/>
      <c r="C928" s="19"/>
    </row>
    <row r="929">
      <c r="B929" s="19"/>
      <c r="C929" s="19"/>
    </row>
    <row r="930">
      <c r="B930" s="19"/>
      <c r="C930" s="19"/>
    </row>
    <row r="931">
      <c r="B931" s="19"/>
      <c r="C931" s="19"/>
    </row>
    <row r="932">
      <c r="B932" s="19"/>
      <c r="C932" s="19"/>
    </row>
    <row r="933">
      <c r="B933" s="19"/>
      <c r="C933" s="19"/>
    </row>
    <row r="934">
      <c r="B934" s="19"/>
      <c r="C934" s="19"/>
    </row>
    <row r="935">
      <c r="B935" s="19"/>
      <c r="C935" s="19"/>
    </row>
    <row r="936">
      <c r="B936" s="19"/>
      <c r="C936" s="19"/>
    </row>
    <row r="937">
      <c r="B937" s="19"/>
      <c r="C937" s="19"/>
    </row>
    <row r="938">
      <c r="B938" s="19"/>
      <c r="C938" s="19"/>
    </row>
    <row r="939">
      <c r="B939" s="19"/>
      <c r="C939" s="19"/>
    </row>
    <row r="940">
      <c r="B940" s="19"/>
      <c r="C940" s="19"/>
    </row>
    <row r="941">
      <c r="B941" s="19"/>
      <c r="C941" s="19"/>
    </row>
    <row r="942">
      <c r="B942" s="19"/>
      <c r="C942" s="19"/>
    </row>
    <row r="943">
      <c r="B943" s="19"/>
      <c r="C943" s="19"/>
    </row>
    <row r="944">
      <c r="B944" s="19"/>
      <c r="C944" s="19"/>
    </row>
    <row r="945">
      <c r="B945" s="19"/>
      <c r="C945" s="19"/>
    </row>
    <row r="946">
      <c r="B946" s="19"/>
      <c r="C946" s="19"/>
    </row>
    <row r="947">
      <c r="B947" s="19"/>
      <c r="C947" s="19"/>
    </row>
    <row r="948">
      <c r="B948" s="19"/>
      <c r="C948" s="19"/>
    </row>
    <row r="949">
      <c r="B949" s="19"/>
      <c r="C949" s="19"/>
    </row>
    <row r="950">
      <c r="B950" s="19"/>
      <c r="C950" s="19"/>
    </row>
    <row r="951">
      <c r="B951" s="19"/>
      <c r="C951" s="19"/>
    </row>
    <row r="952">
      <c r="B952" s="19"/>
      <c r="C952" s="19"/>
    </row>
    <row r="953">
      <c r="B953" s="19"/>
      <c r="C953" s="19"/>
    </row>
    <row r="954">
      <c r="B954" s="19"/>
      <c r="C954" s="19"/>
    </row>
    <row r="955">
      <c r="B955" s="19"/>
      <c r="C955" s="19"/>
    </row>
    <row r="956">
      <c r="B956" s="19"/>
      <c r="C956" s="19"/>
    </row>
    <row r="957">
      <c r="B957" s="19"/>
      <c r="C957" s="19"/>
    </row>
    <row r="958">
      <c r="B958" s="19"/>
      <c r="C958" s="19"/>
    </row>
    <row r="959">
      <c r="B959" s="19"/>
      <c r="C959" s="19"/>
    </row>
    <row r="960">
      <c r="B960" s="19"/>
      <c r="C960" s="19"/>
    </row>
    <row r="961">
      <c r="B961" s="19"/>
      <c r="C961" s="19"/>
    </row>
    <row r="962">
      <c r="B962" s="19"/>
      <c r="C962" s="19"/>
    </row>
    <row r="963">
      <c r="B963" s="19"/>
      <c r="C963" s="19"/>
    </row>
    <row r="964">
      <c r="B964" s="19"/>
      <c r="C964" s="19"/>
    </row>
    <row r="965">
      <c r="B965" s="19"/>
      <c r="C965" s="19"/>
    </row>
    <row r="966">
      <c r="B966" s="19"/>
      <c r="C966" s="19"/>
    </row>
    <row r="967">
      <c r="B967" s="19"/>
      <c r="C967" s="19"/>
    </row>
    <row r="968">
      <c r="B968" s="19"/>
      <c r="C968" s="19"/>
    </row>
    <row r="969">
      <c r="B969" s="19"/>
      <c r="C969" s="19"/>
    </row>
    <row r="970">
      <c r="B970" s="19"/>
      <c r="C970" s="19"/>
    </row>
    <row r="971">
      <c r="B971" s="19"/>
      <c r="C971" s="19"/>
    </row>
    <row r="972">
      <c r="B972" s="19"/>
      <c r="C972" s="19"/>
    </row>
    <row r="973">
      <c r="B973" s="19"/>
      <c r="C973" s="19"/>
    </row>
    <row r="974">
      <c r="B974" s="19"/>
      <c r="C974" s="19"/>
    </row>
    <row r="975">
      <c r="B975" s="19"/>
      <c r="C975" s="19"/>
    </row>
    <row r="976">
      <c r="B976" s="19"/>
      <c r="C976" s="19"/>
    </row>
    <row r="977">
      <c r="B977" s="19"/>
      <c r="C977" s="19"/>
    </row>
    <row r="978">
      <c r="B978" s="19"/>
      <c r="C978" s="19"/>
    </row>
    <row r="979">
      <c r="B979" s="19"/>
      <c r="C979" s="19"/>
    </row>
    <row r="980">
      <c r="B980" s="19"/>
      <c r="C980" s="19"/>
    </row>
    <row r="981">
      <c r="B981" s="19"/>
      <c r="C981" s="19"/>
    </row>
    <row r="982">
      <c r="B982" s="19"/>
      <c r="C982" s="19"/>
    </row>
    <row r="983">
      <c r="B983" s="19"/>
      <c r="C983" s="19"/>
    </row>
    <row r="984">
      <c r="B984" s="19"/>
      <c r="C984" s="19"/>
    </row>
    <row r="985">
      <c r="B985" s="19"/>
      <c r="C985" s="19"/>
    </row>
    <row r="986">
      <c r="B986" s="19"/>
      <c r="C986" s="19"/>
    </row>
    <row r="987">
      <c r="B987" s="19"/>
      <c r="C987" s="19"/>
    </row>
    <row r="988">
      <c r="B988" s="19"/>
      <c r="C988" s="19"/>
    </row>
    <row r="989">
      <c r="B989" s="19"/>
      <c r="C989" s="19"/>
    </row>
    <row r="990">
      <c r="B990" s="19"/>
      <c r="C990" s="19"/>
    </row>
    <row r="991">
      <c r="B991" s="19"/>
      <c r="C991" s="19"/>
    </row>
    <row r="992">
      <c r="B992" s="19"/>
      <c r="C992" s="19"/>
    </row>
    <row r="993">
      <c r="B993" s="19"/>
      <c r="C993" s="19"/>
    </row>
    <row r="994">
      <c r="B994" s="19"/>
      <c r="C994" s="19"/>
    </row>
    <row r="995">
      <c r="B995" s="19"/>
      <c r="C995" s="19"/>
    </row>
    <row r="996">
      <c r="B996" s="19"/>
      <c r="C996" s="19"/>
    </row>
    <row r="997">
      <c r="B997" s="19"/>
      <c r="C997" s="19"/>
    </row>
    <row r="998">
      <c r="B998" s="19"/>
      <c r="C998" s="19"/>
    </row>
    <row r="999">
      <c r="B999" s="19"/>
      <c r="C999" s="19"/>
    </row>
    <row r="1000">
      <c r="B1000" s="19"/>
      <c r="C1000" s="19"/>
    </row>
  </sheetData>
  <autoFilter ref="$A$1:$F$1000"/>
  <dataValidations>
    <dataValidation type="list" allowBlank="1" showErrorMessage="1" sqref="B108:B1000">
      <formula1>Produtos!$B$2:$B1000</formula1>
    </dataValidation>
    <dataValidation type="list" allowBlank="1" showErrorMessage="1" sqref="C19:C1000">
      <formula1>Config!$D$2:$D$8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0"/>
  </cols>
  <sheetData>
    <row r="1">
      <c r="A1" s="39" t="s">
        <v>192</v>
      </c>
      <c r="B1" s="39" t="s">
        <v>193</v>
      </c>
      <c r="C1" s="39" t="s">
        <v>194</v>
      </c>
      <c r="D1" s="39"/>
      <c r="E1" s="39"/>
      <c r="F1" s="39"/>
      <c r="G1" s="39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39"/>
      <c r="B2" s="39"/>
      <c r="C2" s="39"/>
      <c r="D2" s="39"/>
      <c r="E2" s="39"/>
      <c r="F2" s="39"/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0</v>
      </c>
      <c r="B3" s="41" t="s">
        <v>195</v>
      </c>
      <c r="C3" s="41" t="s">
        <v>196</v>
      </c>
      <c r="D3" s="41" t="s">
        <v>197</v>
      </c>
      <c r="E3" s="41" t="s">
        <v>184</v>
      </c>
      <c r="F3" s="41" t="s">
        <v>9</v>
      </c>
      <c r="G3" s="41" t="s">
        <v>10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2">
        <v>46140.0</v>
      </c>
      <c r="B4" s="26" t="s">
        <v>198</v>
      </c>
      <c r="C4" s="26" t="s">
        <v>199</v>
      </c>
      <c r="D4" s="26" t="s">
        <v>200</v>
      </c>
      <c r="E4" s="26">
        <v>332.64</v>
      </c>
      <c r="F4" s="19"/>
      <c r="G4" s="19"/>
    </row>
    <row r="5">
      <c r="A5" s="42">
        <v>46132.0</v>
      </c>
      <c r="B5" s="26" t="s">
        <v>198</v>
      </c>
      <c r="C5" s="19"/>
      <c r="D5" s="26" t="s">
        <v>201</v>
      </c>
      <c r="E5" s="26">
        <v>82.05</v>
      </c>
      <c r="F5" s="19"/>
      <c r="G5" s="19"/>
    </row>
    <row r="6">
      <c r="B6" s="19"/>
      <c r="C6" s="19"/>
      <c r="F6" s="19"/>
      <c r="G6" s="19"/>
    </row>
    <row r="7">
      <c r="B7" s="19"/>
      <c r="C7" s="19"/>
      <c r="F7" s="19"/>
      <c r="G7" s="19"/>
    </row>
    <row r="8">
      <c r="B8" s="19"/>
      <c r="C8" s="19"/>
      <c r="F8" s="19"/>
      <c r="G8" s="19"/>
    </row>
    <row r="9">
      <c r="B9" s="19"/>
      <c r="C9" s="19"/>
      <c r="F9" s="19"/>
      <c r="G9" s="19"/>
    </row>
    <row r="10">
      <c r="B10" s="19"/>
      <c r="C10" s="19"/>
      <c r="F10" s="19"/>
      <c r="G10" s="19"/>
    </row>
    <row r="11">
      <c r="B11" s="19"/>
      <c r="C11" s="19"/>
      <c r="F11" s="19"/>
      <c r="G11" s="19"/>
    </row>
    <row r="12">
      <c r="B12" s="19"/>
      <c r="C12" s="19"/>
      <c r="F12" s="19"/>
      <c r="G12" s="19"/>
    </row>
    <row r="13">
      <c r="B13" s="19"/>
      <c r="C13" s="19"/>
      <c r="F13" s="19"/>
      <c r="G13" s="19"/>
    </row>
    <row r="14">
      <c r="B14" s="19"/>
      <c r="C14" s="19"/>
      <c r="F14" s="19"/>
      <c r="G14" s="19"/>
    </row>
    <row r="15">
      <c r="B15" s="19"/>
      <c r="C15" s="19"/>
      <c r="F15" s="19"/>
      <c r="G15" s="19"/>
    </row>
    <row r="16">
      <c r="B16" s="19"/>
      <c r="C16" s="19"/>
      <c r="F16" s="19"/>
      <c r="G16" s="19"/>
    </row>
    <row r="17">
      <c r="B17" s="19"/>
      <c r="C17" s="19"/>
      <c r="F17" s="19"/>
      <c r="G17" s="19"/>
    </row>
    <row r="18">
      <c r="B18" s="19"/>
      <c r="C18" s="19"/>
      <c r="F18" s="19"/>
      <c r="G18" s="19"/>
    </row>
    <row r="19">
      <c r="B19" s="19"/>
      <c r="C19" s="19"/>
      <c r="F19" s="19"/>
      <c r="G19" s="19"/>
    </row>
    <row r="20">
      <c r="B20" s="19"/>
      <c r="C20" s="19"/>
      <c r="F20" s="19"/>
      <c r="G20" s="19"/>
    </row>
    <row r="21">
      <c r="B21" s="19"/>
      <c r="C21" s="19"/>
      <c r="F21" s="19"/>
      <c r="G21" s="19"/>
    </row>
    <row r="22">
      <c r="B22" s="19"/>
      <c r="C22" s="19"/>
      <c r="F22" s="19"/>
      <c r="G22" s="19"/>
    </row>
    <row r="23">
      <c r="B23" s="19"/>
      <c r="C23" s="19"/>
      <c r="F23" s="19"/>
      <c r="G23" s="19"/>
    </row>
    <row r="24">
      <c r="B24" s="19"/>
      <c r="C24" s="19"/>
      <c r="F24" s="19"/>
      <c r="G24" s="19"/>
    </row>
    <row r="25">
      <c r="B25" s="19"/>
      <c r="C25" s="19"/>
      <c r="F25" s="19"/>
      <c r="G25" s="19"/>
    </row>
    <row r="26">
      <c r="B26" s="19"/>
      <c r="C26" s="19"/>
      <c r="F26" s="19"/>
      <c r="G26" s="19"/>
    </row>
    <row r="27">
      <c r="B27" s="19"/>
      <c r="C27" s="19"/>
      <c r="F27" s="19"/>
      <c r="G27" s="19"/>
    </row>
    <row r="28">
      <c r="B28" s="19"/>
      <c r="C28" s="19"/>
      <c r="F28" s="19"/>
      <c r="G28" s="19"/>
    </row>
    <row r="29">
      <c r="B29" s="19"/>
      <c r="C29" s="19"/>
      <c r="F29" s="19"/>
      <c r="G29" s="19"/>
    </row>
    <row r="30">
      <c r="B30" s="19"/>
      <c r="C30" s="19"/>
      <c r="F30" s="19"/>
      <c r="G30" s="19"/>
    </row>
    <row r="31">
      <c r="B31" s="19"/>
      <c r="C31" s="19"/>
      <c r="F31" s="19"/>
      <c r="G31" s="19"/>
    </row>
    <row r="32">
      <c r="B32" s="19"/>
      <c r="C32" s="19"/>
      <c r="F32" s="19"/>
      <c r="G32" s="19"/>
    </row>
    <row r="33">
      <c r="B33" s="19"/>
      <c r="C33" s="19"/>
      <c r="F33" s="19"/>
      <c r="G33" s="19"/>
    </row>
    <row r="34">
      <c r="B34" s="19"/>
      <c r="C34" s="19"/>
      <c r="F34" s="19"/>
      <c r="G34" s="19"/>
    </row>
    <row r="35">
      <c r="B35" s="19"/>
      <c r="C35" s="19"/>
      <c r="F35" s="19"/>
      <c r="G35" s="19"/>
    </row>
    <row r="36">
      <c r="B36" s="19"/>
      <c r="C36" s="19"/>
      <c r="F36" s="19"/>
      <c r="G36" s="19"/>
    </row>
    <row r="37">
      <c r="B37" s="19"/>
      <c r="C37" s="19"/>
      <c r="F37" s="19"/>
      <c r="G37" s="19"/>
    </row>
    <row r="38">
      <c r="B38" s="19"/>
      <c r="C38" s="19"/>
      <c r="F38" s="19"/>
      <c r="G38" s="19"/>
    </row>
    <row r="39">
      <c r="B39" s="19"/>
      <c r="C39" s="19"/>
      <c r="F39" s="19"/>
      <c r="G39" s="19"/>
    </row>
    <row r="40">
      <c r="B40" s="19"/>
      <c r="C40" s="19"/>
      <c r="F40" s="19"/>
      <c r="G40" s="19"/>
    </row>
    <row r="41">
      <c r="B41" s="19"/>
      <c r="C41" s="19"/>
      <c r="F41" s="19"/>
      <c r="G41" s="19"/>
    </row>
    <row r="42">
      <c r="B42" s="19"/>
      <c r="C42" s="19"/>
      <c r="F42" s="19"/>
      <c r="G42" s="19"/>
    </row>
    <row r="43">
      <c r="B43" s="19"/>
      <c r="C43" s="19"/>
      <c r="F43" s="19"/>
      <c r="G43" s="19"/>
    </row>
    <row r="44">
      <c r="B44" s="19"/>
      <c r="C44" s="19"/>
      <c r="F44" s="19"/>
      <c r="G44" s="19"/>
    </row>
    <row r="45">
      <c r="B45" s="19"/>
      <c r="C45" s="19"/>
      <c r="F45" s="19"/>
      <c r="G45" s="19"/>
    </row>
    <row r="46">
      <c r="B46" s="19"/>
      <c r="C46" s="19"/>
      <c r="F46" s="19"/>
      <c r="G46" s="19"/>
    </row>
    <row r="47">
      <c r="B47" s="19"/>
      <c r="C47" s="19"/>
      <c r="F47" s="19"/>
      <c r="G47" s="19"/>
    </row>
    <row r="48">
      <c r="B48" s="19"/>
      <c r="C48" s="19"/>
      <c r="F48" s="19"/>
      <c r="G48" s="19"/>
    </row>
    <row r="49">
      <c r="B49" s="19"/>
      <c r="C49" s="19"/>
      <c r="F49" s="19"/>
      <c r="G49" s="19"/>
    </row>
    <row r="50">
      <c r="B50" s="19"/>
      <c r="C50" s="19"/>
      <c r="F50" s="19"/>
      <c r="G50" s="19"/>
    </row>
    <row r="51">
      <c r="B51" s="19"/>
      <c r="C51" s="19"/>
      <c r="F51" s="19"/>
      <c r="G51" s="19"/>
    </row>
    <row r="52">
      <c r="B52" s="19"/>
      <c r="C52" s="19"/>
      <c r="F52" s="19"/>
      <c r="G52" s="19"/>
    </row>
    <row r="53">
      <c r="B53" s="19"/>
      <c r="C53" s="19"/>
      <c r="F53" s="19"/>
      <c r="G53" s="19"/>
    </row>
    <row r="54">
      <c r="B54" s="19"/>
      <c r="C54" s="19"/>
      <c r="F54" s="19"/>
      <c r="G54" s="19"/>
    </row>
    <row r="55">
      <c r="B55" s="19"/>
      <c r="C55" s="19"/>
      <c r="F55" s="19"/>
      <c r="G55" s="19"/>
    </row>
    <row r="56">
      <c r="B56" s="19"/>
      <c r="C56" s="19"/>
      <c r="F56" s="19"/>
      <c r="G56" s="19"/>
    </row>
    <row r="57">
      <c r="B57" s="19"/>
      <c r="C57" s="19"/>
      <c r="F57" s="19"/>
      <c r="G57" s="19"/>
    </row>
    <row r="58">
      <c r="B58" s="19"/>
      <c r="C58" s="19"/>
      <c r="F58" s="19"/>
      <c r="G58" s="19"/>
    </row>
    <row r="59">
      <c r="B59" s="19"/>
      <c r="C59" s="19"/>
      <c r="F59" s="19"/>
      <c r="G59" s="19"/>
    </row>
    <row r="60">
      <c r="B60" s="19"/>
      <c r="C60" s="19"/>
      <c r="F60" s="19"/>
      <c r="G60" s="19"/>
    </row>
    <row r="61">
      <c r="B61" s="19"/>
      <c r="C61" s="19"/>
      <c r="F61" s="19"/>
      <c r="G61" s="19"/>
    </row>
    <row r="62">
      <c r="B62" s="19"/>
      <c r="C62" s="19"/>
      <c r="F62" s="19"/>
      <c r="G62" s="19"/>
    </row>
    <row r="63">
      <c r="B63" s="19"/>
      <c r="C63" s="19"/>
      <c r="F63" s="19"/>
      <c r="G63" s="19"/>
    </row>
    <row r="64">
      <c r="B64" s="19"/>
      <c r="C64" s="19"/>
      <c r="F64" s="19"/>
      <c r="G64" s="19"/>
    </row>
    <row r="65">
      <c r="B65" s="19"/>
      <c r="C65" s="19"/>
      <c r="F65" s="19"/>
      <c r="G65" s="19"/>
    </row>
    <row r="66">
      <c r="B66" s="19"/>
      <c r="C66" s="19"/>
      <c r="F66" s="19"/>
      <c r="G66" s="19"/>
    </row>
    <row r="67">
      <c r="B67" s="19"/>
      <c r="C67" s="19"/>
      <c r="F67" s="19"/>
      <c r="G67" s="19"/>
    </row>
    <row r="68">
      <c r="B68" s="19"/>
      <c r="C68" s="19"/>
      <c r="F68" s="19"/>
      <c r="G68" s="19"/>
    </row>
    <row r="69">
      <c r="B69" s="19"/>
      <c r="C69" s="19"/>
      <c r="F69" s="19"/>
      <c r="G69" s="19"/>
    </row>
    <row r="70">
      <c r="B70" s="19"/>
      <c r="C70" s="19"/>
      <c r="F70" s="19"/>
      <c r="G70" s="19"/>
    </row>
    <row r="71">
      <c r="B71" s="19"/>
      <c r="C71" s="19"/>
      <c r="F71" s="19"/>
      <c r="G71" s="19"/>
    </row>
    <row r="72">
      <c r="B72" s="19"/>
      <c r="C72" s="19"/>
      <c r="F72" s="19"/>
      <c r="G72" s="19"/>
    </row>
    <row r="73">
      <c r="B73" s="19"/>
      <c r="C73" s="19"/>
      <c r="F73" s="19"/>
      <c r="G73" s="19"/>
    </row>
    <row r="74">
      <c r="B74" s="19"/>
      <c r="C74" s="19"/>
      <c r="F74" s="19"/>
      <c r="G74" s="19"/>
    </row>
    <row r="75">
      <c r="B75" s="19"/>
      <c r="C75" s="19"/>
      <c r="F75" s="19"/>
      <c r="G75" s="19"/>
    </row>
    <row r="76">
      <c r="B76" s="19"/>
      <c r="C76" s="19"/>
      <c r="F76" s="19"/>
      <c r="G76" s="19"/>
    </row>
    <row r="77">
      <c r="B77" s="19"/>
      <c r="C77" s="19"/>
      <c r="F77" s="19"/>
      <c r="G77" s="19"/>
    </row>
    <row r="78">
      <c r="B78" s="19"/>
      <c r="C78" s="19"/>
      <c r="F78" s="19"/>
      <c r="G78" s="19"/>
    </row>
    <row r="79">
      <c r="B79" s="19"/>
      <c r="C79" s="19"/>
      <c r="F79" s="19"/>
      <c r="G79" s="19"/>
    </row>
    <row r="80">
      <c r="B80" s="19"/>
      <c r="C80" s="19"/>
      <c r="F80" s="19"/>
      <c r="G80" s="19"/>
    </row>
    <row r="81">
      <c r="B81" s="19"/>
      <c r="C81" s="19"/>
      <c r="F81" s="19"/>
      <c r="G81" s="19"/>
    </row>
    <row r="82">
      <c r="B82" s="19"/>
      <c r="C82" s="19"/>
      <c r="F82" s="19"/>
      <c r="G82" s="19"/>
    </row>
    <row r="83">
      <c r="B83" s="19"/>
      <c r="C83" s="19"/>
      <c r="F83" s="19"/>
      <c r="G83" s="19"/>
    </row>
    <row r="84">
      <c r="B84" s="19"/>
      <c r="C84" s="19"/>
      <c r="F84" s="19"/>
      <c r="G84" s="19"/>
    </row>
    <row r="85">
      <c r="B85" s="19"/>
      <c r="C85" s="19"/>
      <c r="F85" s="19"/>
      <c r="G85" s="19"/>
    </row>
    <row r="86">
      <c r="B86" s="19"/>
      <c r="C86" s="19"/>
      <c r="F86" s="19"/>
      <c r="G86" s="19"/>
    </row>
    <row r="87">
      <c r="B87" s="19"/>
      <c r="C87" s="19"/>
      <c r="F87" s="19"/>
      <c r="G87" s="19"/>
    </row>
    <row r="88">
      <c r="B88" s="19"/>
      <c r="C88" s="19"/>
      <c r="F88" s="19"/>
      <c r="G88" s="19"/>
    </row>
    <row r="89">
      <c r="B89" s="19"/>
      <c r="C89" s="19"/>
      <c r="F89" s="19"/>
      <c r="G89" s="19"/>
    </row>
    <row r="90">
      <c r="B90" s="19"/>
      <c r="C90" s="19"/>
      <c r="F90" s="19"/>
      <c r="G90" s="19"/>
    </row>
    <row r="91">
      <c r="B91" s="19"/>
      <c r="C91" s="19"/>
      <c r="F91" s="19"/>
      <c r="G91" s="19"/>
    </row>
    <row r="92">
      <c r="B92" s="19"/>
      <c r="C92" s="19"/>
      <c r="F92" s="19"/>
      <c r="G92" s="19"/>
    </row>
    <row r="93">
      <c r="B93" s="19"/>
      <c r="C93" s="19"/>
      <c r="F93" s="19"/>
      <c r="G93" s="19"/>
    </row>
    <row r="94">
      <c r="B94" s="19"/>
      <c r="C94" s="19"/>
      <c r="F94" s="19"/>
      <c r="G94" s="19"/>
    </row>
    <row r="95">
      <c r="B95" s="19"/>
      <c r="C95" s="19"/>
      <c r="F95" s="19"/>
      <c r="G95" s="19"/>
    </row>
    <row r="96">
      <c r="B96" s="19"/>
      <c r="C96" s="19"/>
      <c r="F96" s="19"/>
      <c r="G96" s="19"/>
    </row>
    <row r="97">
      <c r="B97" s="19"/>
      <c r="C97" s="19"/>
      <c r="F97" s="19"/>
      <c r="G97" s="19"/>
    </row>
    <row r="98">
      <c r="B98" s="19"/>
      <c r="C98" s="19"/>
      <c r="F98" s="19"/>
      <c r="G98" s="19"/>
    </row>
    <row r="99">
      <c r="B99" s="19"/>
      <c r="C99" s="19"/>
      <c r="F99" s="19"/>
      <c r="G99" s="19"/>
    </row>
    <row r="100">
      <c r="B100" s="19"/>
      <c r="C100" s="19"/>
      <c r="F100" s="19"/>
      <c r="G100" s="19"/>
    </row>
    <row r="101">
      <c r="B101" s="19"/>
      <c r="C101" s="19"/>
      <c r="F101" s="19"/>
      <c r="G101" s="19"/>
    </row>
    <row r="102">
      <c r="B102" s="19"/>
      <c r="C102" s="19"/>
      <c r="F102" s="19"/>
      <c r="G102" s="19"/>
    </row>
    <row r="103">
      <c r="B103" s="19"/>
      <c r="C103" s="19"/>
      <c r="F103" s="19"/>
      <c r="G103" s="19"/>
    </row>
    <row r="104">
      <c r="B104" s="19"/>
      <c r="C104" s="19"/>
      <c r="F104" s="19"/>
      <c r="G104" s="19"/>
    </row>
    <row r="105">
      <c r="B105" s="19"/>
      <c r="C105" s="19"/>
      <c r="F105" s="19"/>
      <c r="G105" s="19"/>
    </row>
    <row r="106">
      <c r="B106" s="19"/>
      <c r="C106" s="19"/>
      <c r="F106" s="19"/>
      <c r="G106" s="19"/>
    </row>
    <row r="107">
      <c r="B107" s="19"/>
      <c r="C107" s="19"/>
      <c r="F107" s="19"/>
      <c r="G107" s="19"/>
    </row>
    <row r="108">
      <c r="B108" s="19"/>
      <c r="C108" s="19"/>
      <c r="F108" s="19"/>
      <c r="G108" s="19"/>
    </row>
    <row r="109">
      <c r="B109" s="19"/>
      <c r="C109" s="19"/>
      <c r="F109" s="19"/>
      <c r="G109" s="19"/>
    </row>
    <row r="110">
      <c r="B110" s="19"/>
      <c r="C110" s="19"/>
      <c r="F110" s="19"/>
      <c r="G110" s="19"/>
    </row>
    <row r="111">
      <c r="B111" s="19"/>
      <c r="C111" s="19"/>
      <c r="F111" s="19"/>
      <c r="G111" s="19"/>
    </row>
    <row r="112">
      <c r="B112" s="19"/>
      <c r="C112" s="19"/>
      <c r="F112" s="19"/>
      <c r="G112" s="19"/>
    </row>
    <row r="113">
      <c r="B113" s="19"/>
      <c r="C113" s="19"/>
      <c r="F113" s="19"/>
      <c r="G113" s="19"/>
    </row>
    <row r="114">
      <c r="B114" s="19"/>
      <c r="C114" s="19"/>
      <c r="F114" s="19"/>
      <c r="G114" s="19"/>
    </row>
    <row r="115">
      <c r="B115" s="19"/>
      <c r="C115" s="19"/>
      <c r="F115" s="19"/>
      <c r="G115" s="19"/>
    </row>
    <row r="116">
      <c r="B116" s="19"/>
      <c r="C116" s="19"/>
      <c r="F116" s="19"/>
      <c r="G116" s="19"/>
    </row>
    <row r="117">
      <c r="B117" s="19"/>
      <c r="C117" s="19"/>
      <c r="F117" s="19"/>
      <c r="G117" s="19"/>
    </row>
    <row r="118">
      <c r="B118" s="19"/>
      <c r="C118" s="19"/>
      <c r="F118" s="19"/>
      <c r="G118" s="19"/>
    </row>
    <row r="119">
      <c r="B119" s="19"/>
      <c r="C119" s="19"/>
      <c r="F119" s="19"/>
      <c r="G119" s="19"/>
    </row>
    <row r="120">
      <c r="B120" s="19"/>
      <c r="C120" s="19"/>
      <c r="F120" s="19"/>
      <c r="G120" s="19"/>
    </row>
    <row r="121">
      <c r="B121" s="19"/>
      <c r="C121" s="19"/>
      <c r="F121" s="19"/>
      <c r="G121" s="19"/>
    </row>
    <row r="122">
      <c r="B122" s="19"/>
      <c r="C122" s="19"/>
      <c r="F122" s="19"/>
      <c r="G122" s="19"/>
    </row>
    <row r="123">
      <c r="B123" s="19"/>
      <c r="C123" s="19"/>
      <c r="F123" s="19"/>
      <c r="G123" s="19"/>
    </row>
    <row r="124">
      <c r="B124" s="19"/>
      <c r="C124" s="19"/>
      <c r="F124" s="19"/>
      <c r="G124" s="19"/>
    </row>
    <row r="125">
      <c r="B125" s="19"/>
      <c r="C125" s="19"/>
      <c r="F125" s="19"/>
      <c r="G125" s="19"/>
    </row>
    <row r="126">
      <c r="B126" s="19"/>
      <c r="C126" s="19"/>
      <c r="F126" s="19"/>
      <c r="G126" s="19"/>
    </row>
    <row r="127">
      <c r="B127" s="19"/>
      <c r="C127" s="19"/>
      <c r="F127" s="19"/>
      <c r="G127" s="19"/>
    </row>
    <row r="128">
      <c r="B128" s="19"/>
      <c r="C128" s="19"/>
      <c r="F128" s="19"/>
      <c r="G128" s="19"/>
    </row>
    <row r="129">
      <c r="B129" s="19"/>
      <c r="C129" s="19"/>
      <c r="F129" s="19"/>
      <c r="G129" s="19"/>
    </row>
    <row r="130">
      <c r="B130" s="19"/>
      <c r="C130" s="19"/>
      <c r="F130" s="19"/>
      <c r="G130" s="19"/>
    </row>
    <row r="131">
      <c r="B131" s="19"/>
      <c r="C131" s="19"/>
      <c r="F131" s="19"/>
      <c r="G131" s="19"/>
    </row>
    <row r="132">
      <c r="B132" s="19"/>
      <c r="C132" s="19"/>
      <c r="F132" s="19"/>
      <c r="G132" s="19"/>
    </row>
    <row r="133">
      <c r="B133" s="19"/>
      <c r="C133" s="19"/>
      <c r="F133" s="19"/>
      <c r="G133" s="19"/>
    </row>
    <row r="134">
      <c r="B134" s="19"/>
      <c r="C134" s="19"/>
      <c r="F134" s="19"/>
      <c r="G134" s="19"/>
    </row>
    <row r="135">
      <c r="B135" s="19"/>
      <c r="C135" s="19"/>
      <c r="F135" s="19"/>
      <c r="G135" s="19"/>
    </row>
    <row r="136">
      <c r="B136" s="19"/>
      <c r="C136" s="19"/>
      <c r="F136" s="19"/>
      <c r="G136" s="19"/>
    </row>
    <row r="137">
      <c r="B137" s="19"/>
      <c r="C137" s="19"/>
      <c r="F137" s="19"/>
      <c r="G137" s="19"/>
    </row>
    <row r="138">
      <c r="B138" s="19"/>
      <c r="C138" s="19"/>
      <c r="F138" s="19"/>
      <c r="G138" s="19"/>
    </row>
    <row r="139">
      <c r="B139" s="19"/>
      <c r="C139" s="19"/>
      <c r="F139" s="19"/>
      <c r="G139" s="19"/>
    </row>
    <row r="140">
      <c r="B140" s="19"/>
      <c r="C140" s="19"/>
      <c r="F140" s="19"/>
      <c r="G140" s="19"/>
    </row>
    <row r="141">
      <c r="B141" s="19"/>
      <c r="C141" s="19"/>
      <c r="F141" s="19"/>
      <c r="G141" s="19"/>
    </row>
    <row r="142">
      <c r="B142" s="19"/>
      <c r="C142" s="19"/>
      <c r="F142" s="19"/>
      <c r="G142" s="19"/>
    </row>
    <row r="143">
      <c r="B143" s="19"/>
      <c r="C143" s="19"/>
      <c r="F143" s="19"/>
      <c r="G143" s="19"/>
    </row>
    <row r="144">
      <c r="B144" s="19"/>
      <c r="C144" s="19"/>
      <c r="F144" s="19"/>
      <c r="G144" s="19"/>
    </row>
    <row r="145">
      <c r="B145" s="19"/>
      <c r="C145" s="19"/>
      <c r="F145" s="19"/>
      <c r="G145" s="19"/>
    </row>
    <row r="146">
      <c r="B146" s="19"/>
      <c r="C146" s="19"/>
      <c r="F146" s="19"/>
      <c r="G146" s="19"/>
    </row>
    <row r="147">
      <c r="B147" s="19"/>
      <c r="C147" s="19"/>
      <c r="F147" s="19"/>
      <c r="G147" s="19"/>
    </row>
    <row r="148">
      <c r="B148" s="19"/>
      <c r="C148" s="19"/>
      <c r="F148" s="19"/>
      <c r="G148" s="19"/>
    </row>
    <row r="149">
      <c r="B149" s="19"/>
      <c r="C149" s="19"/>
      <c r="F149" s="19"/>
      <c r="G149" s="19"/>
    </row>
    <row r="150">
      <c r="B150" s="19"/>
      <c r="C150" s="19"/>
      <c r="F150" s="19"/>
      <c r="G150" s="19"/>
    </row>
    <row r="151">
      <c r="B151" s="19"/>
      <c r="C151" s="19"/>
      <c r="F151" s="19"/>
      <c r="G151" s="19"/>
    </row>
    <row r="152">
      <c r="B152" s="19"/>
      <c r="C152" s="19"/>
      <c r="F152" s="19"/>
      <c r="G152" s="19"/>
    </row>
    <row r="153">
      <c r="B153" s="19"/>
      <c r="C153" s="19"/>
      <c r="F153" s="19"/>
      <c r="G153" s="19"/>
    </row>
    <row r="154">
      <c r="B154" s="19"/>
      <c r="C154" s="19"/>
      <c r="F154" s="19"/>
      <c r="G154" s="19"/>
    </row>
    <row r="155">
      <c r="B155" s="19"/>
      <c r="C155" s="19"/>
      <c r="F155" s="19"/>
      <c r="G155" s="19"/>
    </row>
    <row r="156">
      <c r="B156" s="19"/>
      <c r="C156" s="19"/>
      <c r="F156" s="19"/>
      <c r="G156" s="19"/>
    </row>
    <row r="157">
      <c r="B157" s="19"/>
      <c r="C157" s="19"/>
      <c r="F157" s="19"/>
      <c r="G157" s="19"/>
    </row>
    <row r="158">
      <c r="B158" s="19"/>
      <c r="C158" s="19"/>
      <c r="F158" s="19"/>
      <c r="G158" s="19"/>
    </row>
    <row r="159">
      <c r="B159" s="19"/>
      <c r="C159" s="19"/>
      <c r="F159" s="19"/>
      <c r="G159" s="19"/>
    </row>
    <row r="160">
      <c r="B160" s="19"/>
      <c r="C160" s="19"/>
      <c r="F160" s="19"/>
      <c r="G160" s="19"/>
    </row>
    <row r="161">
      <c r="B161" s="19"/>
      <c r="C161" s="19"/>
      <c r="F161" s="19"/>
      <c r="G161" s="19"/>
    </row>
    <row r="162">
      <c r="B162" s="19"/>
      <c r="C162" s="19"/>
      <c r="F162" s="19"/>
      <c r="G162" s="19"/>
    </row>
    <row r="163">
      <c r="B163" s="19"/>
      <c r="C163" s="19"/>
      <c r="F163" s="19"/>
      <c r="G163" s="19"/>
    </row>
    <row r="164">
      <c r="B164" s="19"/>
      <c r="C164" s="19"/>
      <c r="F164" s="19"/>
      <c r="G164" s="19"/>
    </row>
    <row r="165">
      <c r="B165" s="19"/>
      <c r="C165" s="19"/>
      <c r="F165" s="19"/>
      <c r="G165" s="19"/>
    </row>
    <row r="166">
      <c r="B166" s="19"/>
      <c r="C166" s="19"/>
      <c r="F166" s="19"/>
      <c r="G166" s="19"/>
    </row>
    <row r="167">
      <c r="B167" s="19"/>
      <c r="C167" s="19"/>
      <c r="F167" s="19"/>
      <c r="G167" s="19"/>
    </row>
    <row r="168">
      <c r="B168" s="19"/>
      <c r="C168" s="19"/>
      <c r="F168" s="19"/>
      <c r="G168" s="19"/>
    </row>
    <row r="169">
      <c r="B169" s="19"/>
      <c r="C169" s="19"/>
      <c r="F169" s="19"/>
      <c r="G169" s="19"/>
    </row>
    <row r="170">
      <c r="B170" s="19"/>
      <c r="C170" s="19"/>
      <c r="F170" s="19"/>
      <c r="G170" s="19"/>
    </row>
    <row r="171">
      <c r="B171" s="19"/>
      <c r="C171" s="19"/>
      <c r="F171" s="19"/>
      <c r="G171" s="19"/>
    </row>
    <row r="172">
      <c r="B172" s="19"/>
      <c r="C172" s="19"/>
      <c r="F172" s="19"/>
      <c r="G172" s="19"/>
    </row>
    <row r="173">
      <c r="B173" s="19"/>
      <c r="C173" s="19"/>
      <c r="F173" s="19"/>
      <c r="G173" s="19"/>
    </row>
    <row r="174">
      <c r="B174" s="19"/>
      <c r="C174" s="19"/>
      <c r="F174" s="19"/>
      <c r="G174" s="19"/>
    </row>
    <row r="175">
      <c r="B175" s="19"/>
      <c r="C175" s="19"/>
      <c r="F175" s="19"/>
      <c r="G175" s="19"/>
    </row>
    <row r="176">
      <c r="B176" s="19"/>
      <c r="C176" s="19"/>
      <c r="F176" s="19"/>
      <c r="G176" s="19"/>
    </row>
    <row r="177">
      <c r="B177" s="19"/>
      <c r="C177" s="19"/>
      <c r="F177" s="19"/>
      <c r="G177" s="19"/>
    </row>
    <row r="178">
      <c r="B178" s="19"/>
      <c r="C178" s="19"/>
      <c r="F178" s="19"/>
      <c r="G178" s="19"/>
    </row>
    <row r="179">
      <c r="B179" s="19"/>
      <c r="C179" s="19"/>
      <c r="F179" s="19"/>
      <c r="G179" s="19"/>
    </row>
    <row r="180">
      <c r="B180" s="19"/>
      <c r="C180" s="19"/>
      <c r="F180" s="19"/>
      <c r="G180" s="19"/>
    </row>
    <row r="181">
      <c r="B181" s="19"/>
      <c r="C181" s="19"/>
      <c r="F181" s="19"/>
      <c r="G181" s="19"/>
    </row>
    <row r="182">
      <c r="B182" s="19"/>
      <c r="C182" s="19"/>
      <c r="F182" s="19"/>
      <c r="G182" s="19"/>
    </row>
    <row r="183">
      <c r="B183" s="19"/>
      <c r="C183" s="19"/>
      <c r="F183" s="19"/>
      <c r="G183" s="19"/>
    </row>
    <row r="184">
      <c r="B184" s="19"/>
      <c r="C184" s="19"/>
      <c r="F184" s="19"/>
      <c r="G184" s="19"/>
    </row>
    <row r="185">
      <c r="B185" s="19"/>
      <c r="C185" s="19"/>
      <c r="F185" s="19"/>
      <c r="G185" s="19"/>
    </row>
    <row r="186">
      <c r="B186" s="19"/>
      <c r="C186" s="19"/>
      <c r="F186" s="19"/>
      <c r="G186" s="19"/>
    </row>
    <row r="187">
      <c r="B187" s="19"/>
      <c r="C187" s="19"/>
      <c r="F187" s="19"/>
      <c r="G187" s="19"/>
    </row>
    <row r="188">
      <c r="B188" s="19"/>
      <c r="C188" s="19"/>
      <c r="F188" s="19"/>
      <c r="G188" s="19"/>
    </row>
    <row r="189">
      <c r="B189" s="19"/>
      <c r="C189" s="19"/>
      <c r="F189" s="19"/>
      <c r="G189" s="19"/>
    </row>
    <row r="190">
      <c r="B190" s="19"/>
      <c r="C190" s="19"/>
      <c r="F190" s="19"/>
      <c r="G190" s="19"/>
    </row>
    <row r="191">
      <c r="B191" s="19"/>
      <c r="C191" s="19"/>
      <c r="F191" s="19"/>
      <c r="G191" s="19"/>
    </row>
    <row r="192">
      <c r="B192" s="19"/>
      <c r="C192" s="19"/>
      <c r="F192" s="19"/>
      <c r="G192" s="19"/>
    </row>
    <row r="193">
      <c r="B193" s="19"/>
      <c r="C193" s="19"/>
      <c r="F193" s="19"/>
      <c r="G193" s="19"/>
    </row>
    <row r="194">
      <c r="B194" s="19"/>
      <c r="C194" s="19"/>
      <c r="F194" s="19"/>
      <c r="G194" s="19"/>
    </row>
    <row r="195">
      <c r="B195" s="19"/>
      <c r="C195" s="19"/>
      <c r="F195" s="19"/>
      <c r="G195" s="19"/>
    </row>
    <row r="196">
      <c r="B196" s="19"/>
      <c r="C196" s="19"/>
      <c r="F196" s="19"/>
      <c r="G196" s="19"/>
    </row>
    <row r="197">
      <c r="B197" s="19"/>
      <c r="C197" s="19"/>
      <c r="F197" s="19"/>
      <c r="G197" s="19"/>
    </row>
    <row r="198">
      <c r="B198" s="19"/>
      <c r="C198" s="19"/>
      <c r="F198" s="19"/>
      <c r="G198" s="19"/>
    </row>
    <row r="199">
      <c r="B199" s="19"/>
      <c r="C199" s="19"/>
      <c r="F199" s="19"/>
      <c r="G199" s="19"/>
    </row>
    <row r="200">
      <c r="B200" s="19"/>
      <c r="C200" s="19"/>
      <c r="F200" s="19"/>
      <c r="G200" s="19"/>
    </row>
    <row r="201">
      <c r="B201" s="19"/>
      <c r="C201" s="19"/>
      <c r="F201" s="19"/>
      <c r="G201" s="19"/>
    </row>
    <row r="202">
      <c r="B202" s="19"/>
      <c r="C202" s="19"/>
      <c r="F202" s="19"/>
      <c r="G202" s="19"/>
    </row>
    <row r="203">
      <c r="B203" s="19"/>
      <c r="C203" s="19"/>
      <c r="F203" s="19"/>
      <c r="G203" s="19"/>
    </row>
    <row r="204">
      <c r="B204" s="19"/>
      <c r="C204" s="19"/>
      <c r="F204" s="19"/>
      <c r="G204" s="19"/>
    </row>
    <row r="205">
      <c r="B205" s="19"/>
      <c r="C205" s="19"/>
      <c r="F205" s="19"/>
      <c r="G205" s="19"/>
    </row>
    <row r="206">
      <c r="B206" s="19"/>
      <c r="C206" s="19"/>
      <c r="F206" s="19"/>
      <c r="G206" s="19"/>
    </row>
    <row r="207">
      <c r="B207" s="19"/>
      <c r="C207" s="19"/>
      <c r="F207" s="19"/>
      <c r="G207" s="19"/>
    </row>
    <row r="208">
      <c r="B208" s="19"/>
      <c r="C208" s="19"/>
      <c r="F208" s="19"/>
      <c r="G208" s="19"/>
    </row>
    <row r="209">
      <c r="B209" s="19"/>
      <c r="C209" s="19"/>
      <c r="F209" s="19"/>
      <c r="G209" s="19"/>
    </row>
    <row r="210">
      <c r="B210" s="19"/>
      <c r="C210" s="19"/>
      <c r="F210" s="19"/>
      <c r="G210" s="19"/>
    </row>
    <row r="211">
      <c r="B211" s="19"/>
      <c r="C211" s="19"/>
      <c r="F211" s="19"/>
      <c r="G211" s="19"/>
    </row>
    <row r="212">
      <c r="B212" s="19"/>
      <c r="C212" s="19"/>
      <c r="F212" s="19"/>
      <c r="G212" s="19"/>
    </row>
    <row r="213">
      <c r="B213" s="19"/>
      <c r="C213" s="19"/>
      <c r="F213" s="19"/>
      <c r="G213" s="19"/>
    </row>
    <row r="214">
      <c r="B214" s="19"/>
      <c r="C214" s="19"/>
      <c r="F214" s="19"/>
      <c r="G214" s="19"/>
    </row>
    <row r="215">
      <c r="B215" s="19"/>
      <c r="C215" s="19"/>
      <c r="F215" s="19"/>
      <c r="G215" s="19"/>
    </row>
    <row r="216">
      <c r="B216" s="19"/>
      <c r="C216" s="19"/>
      <c r="F216" s="19"/>
      <c r="G216" s="19"/>
    </row>
    <row r="217">
      <c r="B217" s="19"/>
      <c r="C217" s="19"/>
      <c r="F217" s="19"/>
      <c r="G217" s="19"/>
    </row>
    <row r="218">
      <c r="B218" s="19"/>
      <c r="C218" s="19"/>
      <c r="F218" s="19"/>
      <c r="G218" s="19"/>
    </row>
    <row r="219">
      <c r="B219" s="19"/>
      <c r="C219" s="19"/>
      <c r="F219" s="19"/>
      <c r="G219" s="19"/>
    </row>
    <row r="220">
      <c r="B220" s="19"/>
      <c r="C220" s="19"/>
      <c r="F220" s="19"/>
      <c r="G220" s="19"/>
    </row>
    <row r="221">
      <c r="B221" s="19"/>
      <c r="C221" s="19"/>
      <c r="F221" s="19"/>
      <c r="G221" s="19"/>
    </row>
    <row r="222">
      <c r="B222" s="19"/>
      <c r="C222" s="19"/>
      <c r="F222" s="19"/>
      <c r="G222" s="19"/>
    </row>
    <row r="223">
      <c r="B223" s="19"/>
      <c r="C223" s="19"/>
      <c r="F223" s="19"/>
      <c r="G223" s="19"/>
    </row>
    <row r="224">
      <c r="B224" s="19"/>
      <c r="C224" s="19"/>
      <c r="F224" s="19"/>
      <c r="G224" s="19"/>
    </row>
    <row r="225">
      <c r="B225" s="19"/>
      <c r="C225" s="19"/>
      <c r="F225" s="19"/>
      <c r="G225" s="19"/>
    </row>
    <row r="226">
      <c r="B226" s="19"/>
      <c r="C226" s="19"/>
      <c r="F226" s="19"/>
      <c r="G226" s="19"/>
    </row>
    <row r="227">
      <c r="B227" s="19"/>
      <c r="C227" s="19"/>
      <c r="F227" s="19"/>
      <c r="G227" s="19"/>
    </row>
    <row r="228">
      <c r="B228" s="19"/>
      <c r="C228" s="19"/>
      <c r="F228" s="19"/>
      <c r="G228" s="19"/>
    </row>
    <row r="229">
      <c r="B229" s="19"/>
      <c r="C229" s="19"/>
      <c r="F229" s="19"/>
      <c r="G229" s="19"/>
    </row>
    <row r="230">
      <c r="B230" s="19"/>
      <c r="C230" s="19"/>
      <c r="F230" s="19"/>
      <c r="G230" s="19"/>
    </row>
    <row r="231">
      <c r="B231" s="19"/>
      <c r="C231" s="19"/>
      <c r="F231" s="19"/>
      <c r="G231" s="19"/>
    </row>
    <row r="232">
      <c r="B232" s="19"/>
      <c r="C232" s="19"/>
      <c r="F232" s="19"/>
      <c r="G232" s="19"/>
    </row>
    <row r="233">
      <c r="B233" s="19"/>
      <c r="C233" s="19"/>
      <c r="F233" s="19"/>
      <c r="G233" s="19"/>
    </row>
    <row r="234">
      <c r="B234" s="19"/>
      <c r="C234" s="19"/>
      <c r="F234" s="19"/>
      <c r="G234" s="19"/>
    </row>
    <row r="235">
      <c r="B235" s="19"/>
      <c r="C235" s="19"/>
      <c r="F235" s="19"/>
      <c r="G235" s="19"/>
    </row>
    <row r="236">
      <c r="B236" s="19"/>
      <c r="C236" s="19"/>
      <c r="F236" s="19"/>
      <c r="G236" s="19"/>
    </row>
    <row r="237">
      <c r="B237" s="19"/>
      <c r="C237" s="19"/>
      <c r="F237" s="19"/>
      <c r="G237" s="19"/>
    </row>
    <row r="238">
      <c r="B238" s="19"/>
      <c r="C238" s="19"/>
      <c r="F238" s="19"/>
      <c r="G238" s="19"/>
    </row>
    <row r="239">
      <c r="B239" s="19"/>
      <c r="C239" s="19"/>
      <c r="F239" s="19"/>
      <c r="G239" s="19"/>
    </row>
    <row r="240">
      <c r="B240" s="19"/>
      <c r="C240" s="19"/>
      <c r="F240" s="19"/>
      <c r="G240" s="19"/>
    </row>
    <row r="241">
      <c r="B241" s="19"/>
      <c r="C241" s="19"/>
      <c r="F241" s="19"/>
      <c r="G241" s="19"/>
    </row>
    <row r="242">
      <c r="B242" s="19"/>
      <c r="C242" s="19"/>
      <c r="F242" s="19"/>
      <c r="G242" s="19"/>
    </row>
    <row r="243">
      <c r="B243" s="19"/>
      <c r="C243" s="19"/>
      <c r="F243" s="19"/>
      <c r="G243" s="19"/>
    </row>
    <row r="244">
      <c r="B244" s="19"/>
      <c r="C244" s="19"/>
      <c r="F244" s="19"/>
      <c r="G244" s="19"/>
    </row>
    <row r="245">
      <c r="B245" s="19"/>
      <c r="C245" s="19"/>
      <c r="F245" s="19"/>
      <c r="G245" s="19"/>
    </row>
    <row r="246">
      <c r="B246" s="19"/>
      <c r="C246" s="19"/>
      <c r="F246" s="19"/>
      <c r="G246" s="19"/>
    </row>
    <row r="247">
      <c r="B247" s="19"/>
      <c r="C247" s="19"/>
      <c r="F247" s="19"/>
      <c r="G247" s="19"/>
    </row>
    <row r="248">
      <c r="B248" s="19"/>
      <c r="C248" s="19"/>
      <c r="F248" s="19"/>
      <c r="G248" s="19"/>
    </row>
    <row r="249">
      <c r="B249" s="19"/>
      <c r="C249" s="19"/>
      <c r="F249" s="19"/>
      <c r="G249" s="19"/>
    </row>
    <row r="250">
      <c r="B250" s="19"/>
      <c r="C250" s="19"/>
      <c r="F250" s="19"/>
      <c r="G250" s="19"/>
    </row>
    <row r="251">
      <c r="B251" s="19"/>
      <c r="C251" s="19"/>
      <c r="F251" s="19"/>
      <c r="G251" s="19"/>
    </row>
    <row r="252">
      <c r="B252" s="19"/>
      <c r="C252" s="19"/>
      <c r="F252" s="19"/>
      <c r="G252" s="19"/>
    </row>
    <row r="253">
      <c r="B253" s="19"/>
      <c r="C253" s="19"/>
      <c r="F253" s="19"/>
      <c r="G253" s="19"/>
    </row>
    <row r="254">
      <c r="B254" s="19"/>
      <c r="C254" s="19"/>
      <c r="F254" s="19"/>
      <c r="G254" s="19"/>
    </row>
    <row r="255">
      <c r="B255" s="19"/>
      <c r="C255" s="19"/>
      <c r="F255" s="19"/>
      <c r="G255" s="19"/>
    </row>
    <row r="256">
      <c r="B256" s="19"/>
      <c r="C256" s="19"/>
      <c r="F256" s="19"/>
      <c r="G256" s="19"/>
    </row>
    <row r="257">
      <c r="B257" s="19"/>
      <c r="C257" s="19"/>
      <c r="F257" s="19"/>
      <c r="G257" s="19"/>
    </row>
    <row r="258">
      <c r="B258" s="19"/>
      <c r="C258" s="19"/>
      <c r="F258" s="19"/>
      <c r="G258" s="19"/>
    </row>
    <row r="259">
      <c r="B259" s="19"/>
      <c r="C259" s="19"/>
      <c r="F259" s="19"/>
      <c r="G259" s="19"/>
    </row>
    <row r="260">
      <c r="B260" s="19"/>
      <c r="C260" s="19"/>
      <c r="F260" s="19"/>
      <c r="G260" s="19"/>
    </row>
    <row r="261">
      <c r="B261" s="19"/>
      <c r="C261" s="19"/>
      <c r="F261" s="19"/>
      <c r="G261" s="19"/>
    </row>
    <row r="262">
      <c r="B262" s="19"/>
      <c r="C262" s="19"/>
      <c r="F262" s="19"/>
      <c r="G262" s="19"/>
    </row>
    <row r="263">
      <c r="B263" s="19"/>
      <c r="C263" s="19"/>
      <c r="F263" s="19"/>
      <c r="G263" s="19"/>
    </row>
    <row r="264">
      <c r="B264" s="19"/>
      <c r="C264" s="19"/>
      <c r="F264" s="19"/>
      <c r="G264" s="19"/>
    </row>
    <row r="265">
      <c r="B265" s="19"/>
      <c r="C265" s="19"/>
      <c r="F265" s="19"/>
      <c r="G265" s="19"/>
    </row>
    <row r="266">
      <c r="B266" s="19"/>
      <c r="C266" s="19"/>
      <c r="F266" s="19"/>
      <c r="G266" s="19"/>
    </row>
    <row r="267">
      <c r="B267" s="19"/>
      <c r="C267" s="19"/>
      <c r="F267" s="19"/>
      <c r="G267" s="19"/>
    </row>
    <row r="268">
      <c r="B268" s="19"/>
      <c r="C268" s="19"/>
      <c r="F268" s="19"/>
      <c r="G268" s="19"/>
    </row>
    <row r="269">
      <c r="B269" s="19"/>
      <c r="C269" s="19"/>
      <c r="F269" s="19"/>
      <c r="G269" s="19"/>
    </row>
    <row r="270">
      <c r="B270" s="19"/>
      <c r="C270" s="19"/>
      <c r="F270" s="19"/>
      <c r="G270" s="19"/>
    </row>
    <row r="271">
      <c r="B271" s="19"/>
      <c r="C271" s="19"/>
      <c r="F271" s="19"/>
      <c r="G271" s="19"/>
    </row>
    <row r="272">
      <c r="B272" s="19"/>
      <c r="C272" s="19"/>
      <c r="F272" s="19"/>
      <c r="G272" s="19"/>
    </row>
    <row r="273">
      <c r="B273" s="19"/>
      <c r="C273" s="19"/>
      <c r="F273" s="19"/>
      <c r="G273" s="19"/>
    </row>
    <row r="274">
      <c r="B274" s="19"/>
      <c r="C274" s="19"/>
      <c r="F274" s="19"/>
      <c r="G274" s="19"/>
    </row>
    <row r="275">
      <c r="B275" s="19"/>
      <c r="C275" s="19"/>
      <c r="F275" s="19"/>
      <c r="G275" s="19"/>
    </row>
    <row r="276">
      <c r="B276" s="19"/>
      <c r="C276" s="19"/>
      <c r="F276" s="19"/>
      <c r="G276" s="19"/>
    </row>
    <row r="277">
      <c r="B277" s="19"/>
      <c r="C277" s="19"/>
      <c r="F277" s="19"/>
      <c r="G277" s="19"/>
    </row>
    <row r="278">
      <c r="B278" s="19"/>
      <c r="C278" s="19"/>
      <c r="F278" s="19"/>
      <c r="G278" s="19"/>
    </row>
    <row r="279">
      <c r="B279" s="19"/>
      <c r="C279" s="19"/>
      <c r="F279" s="19"/>
      <c r="G279" s="19"/>
    </row>
    <row r="280">
      <c r="B280" s="19"/>
      <c r="C280" s="19"/>
      <c r="F280" s="19"/>
      <c r="G280" s="19"/>
    </row>
    <row r="281">
      <c r="B281" s="19"/>
      <c r="C281" s="19"/>
      <c r="F281" s="19"/>
      <c r="G281" s="19"/>
    </row>
    <row r="282">
      <c r="B282" s="19"/>
      <c r="C282" s="19"/>
      <c r="F282" s="19"/>
      <c r="G282" s="19"/>
    </row>
    <row r="283">
      <c r="B283" s="19"/>
      <c r="C283" s="19"/>
      <c r="F283" s="19"/>
      <c r="G283" s="19"/>
    </row>
    <row r="284">
      <c r="B284" s="19"/>
      <c r="C284" s="19"/>
      <c r="F284" s="19"/>
      <c r="G284" s="19"/>
    </row>
    <row r="285">
      <c r="B285" s="19"/>
      <c r="C285" s="19"/>
      <c r="F285" s="19"/>
      <c r="G285" s="19"/>
    </row>
    <row r="286">
      <c r="B286" s="19"/>
      <c r="C286" s="19"/>
      <c r="F286" s="19"/>
      <c r="G286" s="19"/>
    </row>
    <row r="287">
      <c r="B287" s="19"/>
      <c r="C287" s="19"/>
      <c r="F287" s="19"/>
      <c r="G287" s="19"/>
    </row>
    <row r="288">
      <c r="B288" s="19"/>
      <c r="C288" s="19"/>
      <c r="F288" s="19"/>
      <c r="G288" s="19"/>
    </row>
    <row r="289">
      <c r="B289" s="19"/>
      <c r="C289" s="19"/>
      <c r="F289" s="19"/>
      <c r="G289" s="19"/>
    </row>
    <row r="290">
      <c r="B290" s="19"/>
      <c r="C290" s="19"/>
      <c r="F290" s="19"/>
      <c r="G290" s="19"/>
    </row>
    <row r="291">
      <c r="B291" s="19"/>
      <c r="C291" s="19"/>
      <c r="F291" s="19"/>
      <c r="G291" s="19"/>
    </row>
    <row r="292">
      <c r="B292" s="19"/>
      <c r="C292" s="19"/>
      <c r="F292" s="19"/>
      <c r="G292" s="19"/>
    </row>
    <row r="293">
      <c r="B293" s="19"/>
      <c r="C293" s="19"/>
      <c r="F293" s="19"/>
      <c r="G293" s="19"/>
    </row>
    <row r="294">
      <c r="B294" s="19"/>
      <c r="C294" s="19"/>
      <c r="F294" s="19"/>
      <c r="G294" s="19"/>
    </row>
    <row r="295">
      <c r="B295" s="19"/>
      <c r="C295" s="19"/>
      <c r="F295" s="19"/>
      <c r="G295" s="19"/>
    </row>
    <row r="296">
      <c r="B296" s="19"/>
      <c r="C296" s="19"/>
      <c r="F296" s="19"/>
      <c r="G296" s="19"/>
    </row>
    <row r="297">
      <c r="B297" s="19"/>
      <c r="C297" s="19"/>
      <c r="F297" s="19"/>
      <c r="G297" s="19"/>
    </row>
    <row r="298">
      <c r="B298" s="19"/>
      <c r="C298" s="19"/>
      <c r="F298" s="19"/>
      <c r="G298" s="19"/>
    </row>
    <row r="299">
      <c r="B299" s="19"/>
      <c r="C299" s="19"/>
      <c r="F299" s="19"/>
      <c r="G299" s="19"/>
    </row>
    <row r="300">
      <c r="B300" s="19"/>
      <c r="C300" s="19"/>
      <c r="F300" s="19"/>
      <c r="G300" s="19"/>
    </row>
    <row r="301">
      <c r="B301" s="19"/>
      <c r="C301" s="19"/>
      <c r="F301" s="19"/>
      <c r="G301" s="19"/>
    </row>
    <row r="302">
      <c r="B302" s="19"/>
      <c r="C302" s="19"/>
      <c r="F302" s="19"/>
      <c r="G302" s="19"/>
    </row>
    <row r="303">
      <c r="B303" s="19"/>
      <c r="C303" s="19"/>
      <c r="F303" s="19"/>
      <c r="G303" s="19"/>
    </row>
    <row r="304">
      <c r="B304" s="19"/>
      <c r="C304" s="19"/>
      <c r="F304" s="19"/>
      <c r="G304" s="19"/>
    </row>
    <row r="305">
      <c r="B305" s="19"/>
      <c r="C305" s="19"/>
      <c r="F305" s="19"/>
      <c r="G305" s="19"/>
    </row>
    <row r="306">
      <c r="B306" s="19"/>
      <c r="C306" s="19"/>
      <c r="F306" s="19"/>
      <c r="G306" s="19"/>
    </row>
    <row r="307">
      <c r="B307" s="19"/>
      <c r="C307" s="19"/>
      <c r="F307" s="19"/>
      <c r="G307" s="19"/>
    </row>
    <row r="308">
      <c r="B308" s="19"/>
      <c r="C308" s="19"/>
      <c r="F308" s="19"/>
      <c r="G308" s="19"/>
    </row>
    <row r="309">
      <c r="B309" s="19"/>
      <c r="C309" s="19"/>
      <c r="F309" s="19"/>
      <c r="G309" s="19"/>
    </row>
    <row r="310">
      <c r="B310" s="19"/>
      <c r="C310" s="19"/>
      <c r="F310" s="19"/>
      <c r="G310" s="19"/>
    </row>
    <row r="311">
      <c r="B311" s="19"/>
      <c r="C311" s="19"/>
      <c r="F311" s="19"/>
      <c r="G311" s="19"/>
    </row>
    <row r="312">
      <c r="B312" s="19"/>
      <c r="C312" s="19"/>
      <c r="F312" s="19"/>
      <c r="G312" s="19"/>
    </row>
    <row r="313">
      <c r="B313" s="19"/>
      <c r="C313" s="19"/>
      <c r="F313" s="19"/>
      <c r="G313" s="19"/>
    </row>
    <row r="314">
      <c r="B314" s="19"/>
      <c r="C314" s="19"/>
      <c r="F314" s="19"/>
      <c r="G314" s="19"/>
    </row>
    <row r="315">
      <c r="B315" s="19"/>
      <c r="C315" s="19"/>
      <c r="F315" s="19"/>
      <c r="G315" s="19"/>
    </row>
    <row r="316">
      <c r="B316" s="19"/>
      <c r="C316" s="19"/>
      <c r="F316" s="19"/>
      <c r="G316" s="19"/>
    </row>
    <row r="317">
      <c r="B317" s="19"/>
      <c r="C317" s="19"/>
      <c r="F317" s="19"/>
      <c r="G317" s="19"/>
    </row>
    <row r="318">
      <c r="B318" s="19"/>
      <c r="C318" s="19"/>
      <c r="F318" s="19"/>
      <c r="G318" s="19"/>
    </row>
    <row r="319">
      <c r="B319" s="19"/>
      <c r="C319" s="19"/>
      <c r="F319" s="19"/>
      <c r="G319" s="19"/>
    </row>
    <row r="320">
      <c r="B320" s="19"/>
      <c r="C320" s="19"/>
      <c r="F320" s="19"/>
      <c r="G320" s="19"/>
    </row>
    <row r="321">
      <c r="B321" s="19"/>
      <c r="C321" s="19"/>
      <c r="F321" s="19"/>
      <c r="G321" s="19"/>
    </row>
    <row r="322">
      <c r="B322" s="19"/>
      <c r="C322" s="19"/>
      <c r="F322" s="19"/>
      <c r="G322" s="19"/>
    </row>
    <row r="323">
      <c r="B323" s="19"/>
      <c r="C323" s="19"/>
      <c r="F323" s="19"/>
      <c r="G323" s="19"/>
    </row>
    <row r="324">
      <c r="B324" s="19"/>
      <c r="C324" s="19"/>
      <c r="F324" s="19"/>
      <c r="G324" s="19"/>
    </row>
    <row r="325">
      <c r="B325" s="19"/>
      <c r="C325" s="19"/>
      <c r="F325" s="19"/>
      <c r="G325" s="19"/>
    </row>
    <row r="326">
      <c r="B326" s="19"/>
      <c r="C326" s="19"/>
      <c r="F326" s="19"/>
      <c r="G326" s="19"/>
    </row>
    <row r="327">
      <c r="B327" s="19"/>
      <c r="C327" s="19"/>
      <c r="F327" s="19"/>
      <c r="G327" s="19"/>
    </row>
    <row r="328">
      <c r="B328" s="19"/>
      <c r="C328" s="19"/>
      <c r="F328" s="19"/>
      <c r="G328" s="19"/>
    </row>
    <row r="329">
      <c r="B329" s="19"/>
      <c r="C329" s="19"/>
      <c r="F329" s="19"/>
      <c r="G329" s="19"/>
    </row>
    <row r="330">
      <c r="B330" s="19"/>
      <c r="C330" s="19"/>
      <c r="F330" s="19"/>
      <c r="G330" s="19"/>
    </row>
    <row r="331">
      <c r="B331" s="19"/>
      <c r="C331" s="19"/>
      <c r="F331" s="19"/>
      <c r="G331" s="19"/>
    </row>
    <row r="332">
      <c r="B332" s="19"/>
      <c r="C332" s="19"/>
      <c r="F332" s="19"/>
      <c r="G332" s="19"/>
    </row>
    <row r="333">
      <c r="B333" s="19"/>
      <c r="C333" s="19"/>
      <c r="F333" s="19"/>
      <c r="G333" s="19"/>
    </row>
    <row r="334">
      <c r="B334" s="19"/>
      <c r="C334" s="19"/>
      <c r="F334" s="19"/>
      <c r="G334" s="19"/>
    </row>
    <row r="335">
      <c r="B335" s="19"/>
      <c r="C335" s="19"/>
      <c r="F335" s="19"/>
      <c r="G335" s="19"/>
    </row>
    <row r="336">
      <c r="B336" s="19"/>
      <c r="C336" s="19"/>
      <c r="F336" s="19"/>
      <c r="G336" s="19"/>
    </row>
    <row r="337">
      <c r="B337" s="19"/>
      <c r="C337" s="19"/>
      <c r="F337" s="19"/>
      <c r="G337" s="19"/>
    </row>
    <row r="338">
      <c r="B338" s="19"/>
      <c r="C338" s="19"/>
      <c r="F338" s="19"/>
      <c r="G338" s="19"/>
    </row>
    <row r="339">
      <c r="B339" s="19"/>
      <c r="C339" s="19"/>
      <c r="F339" s="19"/>
      <c r="G339" s="19"/>
    </row>
    <row r="340">
      <c r="B340" s="19"/>
      <c r="C340" s="19"/>
      <c r="F340" s="19"/>
      <c r="G340" s="19"/>
    </row>
    <row r="341">
      <c r="B341" s="19"/>
      <c r="C341" s="19"/>
      <c r="F341" s="19"/>
      <c r="G341" s="19"/>
    </row>
    <row r="342">
      <c r="B342" s="19"/>
      <c r="C342" s="19"/>
      <c r="F342" s="19"/>
      <c r="G342" s="19"/>
    </row>
    <row r="343">
      <c r="B343" s="19"/>
      <c r="C343" s="19"/>
      <c r="F343" s="19"/>
      <c r="G343" s="19"/>
    </row>
    <row r="344">
      <c r="B344" s="19"/>
      <c r="C344" s="19"/>
      <c r="F344" s="19"/>
      <c r="G344" s="19"/>
    </row>
    <row r="345">
      <c r="B345" s="19"/>
      <c r="C345" s="19"/>
      <c r="F345" s="19"/>
      <c r="G345" s="19"/>
    </row>
    <row r="346">
      <c r="B346" s="19"/>
      <c r="C346" s="19"/>
      <c r="F346" s="19"/>
      <c r="G346" s="19"/>
    </row>
    <row r="347">
      <c r="B347" s="19"/>
      <c r="C347" s="19"/>
      <c r="F347" s="19"/>
      <c r="G347" s="19"/>
    </row>
    <row r="348">
      <c r="B348" s="19"/>
      <c r="C348" s="19"/>
      <c r="F348" s="19"/>
      <c r="G348" s="19"/>
    </row>
    <row r="349">
      <c r="B349" s="19"/>
      <c r="C349" s="19"/>
      <c r="F349" s="19"/>
      <c r="G349" s="19"/>
    </row>
    <row r="350">
      <c r="B350" s="19"/>
      <c r="C350" s="19"/>
      <c r="F350" s="19"/>
      <c r="G350" s="19"/>
    </row>
    <row r="351">
      <c r="B351" s="19"/>
      <c r="C351" s="19"/>
      <c r="F351" s="19"/>
      <c r="G351" s="19"/>
    </row>
    <row r="352">
      <c r="B352" s="19"/>
      <c r="C352" s="19"/>
      <c r="F352" s="19"/>
      <c r="G352" s="19"/>
    </row>
    <row r="353">
      <c r="B353" s="19"/>
      <c r="C353" s="19"/>
      <c r="F353" s="19"/>
      <c r="G353" s="19"/>
    </row>
    <row r="354">
      <c r="B354" s="19"/>
      <c r="C354" s="19"/>
      <c r="F354" s="19"/>
      <c r="G354" s="19"/>
    </row>
    <row r="355">
      <c r="B355" s="19"/>
      <c r="C355" s="19"/>
      <c r="F355" s="19"/>
      <c r="G355" s="19"/>
    </row>
    <row r="356">
      <c r="B356" s="19"/>
      <c r="C356" s="19"/>
      <c r="F356" s="19"/>
      <c r="G356" s="19"/>
    </row>
    <row r="357">
      <c r="B357" s="19"/>
      <c r="C357" s="19"/>
      <c r="F357" s="19"/>
      <c r="G357" s="19"/>
    </row>
    <row r="358">
      <c r="B358" s="19"/>
      <c r="C358" s="19"/>
      <c r="F358" s="19"/>
      <c r="G358" s="19"/>
    </row>
    <row r="359">
      <c r="B359" s="19"/>
      <c r="C359" s="19"/>
      <c r="F359" s="19"/>
      <c r="G359" s="19"/>
    </row>
    <row r="360">
      <c r="B360" s="19"/>
      <c r="C360" s="19"/>
      <c r="F360" s="19"/>
      <c r="G360" s="19"/>
    </row>
    <row r="361">
      <c r="B361" s="19"/>
      <c r="C361" s="19"/>
      <c r="F361" s="19"/>
      <c r="G361" s="19"/>
    </row>
    <row r="362">
      <c r="B362" s="19"/>
      <c r="C362" s="19"/>
      <c r="F362" s="19"/>
      <c r="G362" s="19"/>
    </row>
    <row r="363">
      <c r="B363" s="19"/>
      <c r="C363" s="19"/>
      <c r="F363" s="19"/>
      <c r="G363" s="19"/>
    </row>
    <row r="364">
      <c r="B364" s="19"/>
      <c r="C364" s="19"/>
      <c r="F364" s="19"/>
      <c r="G364" s="19"/>
    </row>
    <row r="365">
      <c r="B365" s="19"/>
      <c r="C365" s="19"/>
      <c r="F365" s="19"/>
      <c r="G365" s="19"/>
    </row>
    <row r="366">
      <c r="B366" s="19"/>
      <c r="C366" s="19"/>
      <c r="F366" s="19"/>
      <c r="G366" s="19"/>
    </row>
    <row r="367">
      <c r="B367" s="19"/>
      <c r="C367" s="19"/>
      <c r="F367" s="19"/>
      <c r="G367" s="19"/>
    </row>
    <row r="368">
      <c r="B368" s="19"/>
      <c r="C368" s="19"/>
      <c r="F368" s="19"/>
      <c r="G368" s="19"/>
    </row>
    <row r="369">
      <c r="B369" s="19"/>
      <c r="C369" s="19"/>
      <c r="F369" s="19"/>
      <c r="G369" s="19"/>
    </row>
    <row r="370">
      <c r="B370" s="19"/>
      <c r="C370" s="19"/>
      <c r="F370" s="19"/>
      <c r="G370" s="19"/>
    </row>
    <row r="371">
      <c r="B371" s="19"/>
      <c r="C371" s="19"/>
      <c r="F371" s="19"/>
      <c r="G371" s="19"/>
    </row>
    <row r="372">
      <c r="B372" s="19"/>
      <c r="C372" s="19"/>
      <c r="F372" s="19"/>
      <c r="G372" s="19"/>
    </row>
    <row r="373">
      <c r="B373" s="19"/>
      <c r="C373" s="19"/>
      <c r="F373" s="19"/>
      <c r="G373" s="19"/>
    </row>
    <row r="374">
      <c r="B374" s="19"/>
      <c r="C374" s="19"/>
      <c r="F374" s="19"/>
      <c r="G374" s="19"/>
    </row>
    <row r="375">
      <c r="B375" s="19"/>
      <c r="C375" s="19"/>
      <c r="F375" s="19"/>
      <c r="G375" s="19"/>
    </row>
    <row r="376">
      <c r="B376" s="19"/>
      <c r="C376" s="19"/>
      <c r="F376" s="19"/>
      <c r="G376" s="19"/>
    </row>
    <row r="377">
      <c r="B377" s="19"/>
      <c r="C377" s="19"/>
      <c r="F377" s="19"/>
      <c r="G377" s="19"/>
    </row>
    <row r="378">
      <c r="B378" s="19"/>
      <c r="C378" s="19"/>
      <c r="F378" s="19"/>
      <c r="G378" s="19"/>
    </row>
    <row r="379">
      <c r="B379" s="19"/>
      <c r="C379" s="19"/>
      <c r="F379" s="19"/>
      <c r="G379" s="19"/>
    </row>
    <row r="380">
      <c r="B380" s="19"/>
      <c r="C380" s="19"/>
      <c r="F380" s="19"/>
      <c r="G380" s="19"/>
    </row>
    <row r="381">
      <c r="B381" s="19"/>
      <c r="C381" s="19"/>
      <c r="F381" s="19"/>
      <c r="G381" s="19"/>
    </row>
    <row r="382">
      <c r="B382" s="19"/>
      <c r="C382" s="19"/>
      <c r="F382" s="19"/>
      <c r="G382" s="19"/>
    </row>
    <row r="383">
      <c r="B383" s="19"/>
      <c r="C383" s="19"/>
      <c r="F383" s="19"/>
      <c r="G383" s="19"/>
    </row>
    <row r="384">
      <c r="B384" s="19"/>
      <c r="C384" s="19"/>
      <c r="F384" s="19"/>
      <c r="G384" s="19"/>
    </row>
    <row r="385">
      <c r="B385" s="19"/>
      <c r="C385" s="19"/>
      <c r="F385" s="19"/>
      <c r="G385" s="19"/>
    </row>
    <row r="386">
      <c r="B386" s="19"/>
      <c r="C386" s="19"/>
      <c r="F386" s="19"/>
      <c r="G386" s="19"/>
    </row>
    <row r="387">
      <c r="B387" s="19"/>
      <c r="C387" s="19"/>
      <c r="F387" s="19"/>
      <c r="G387" s="19"/>
    </row>
    <row r="388">
      <c r="B388" s="19"/>
      <c r="C388" s="19"/>
      <c r="F388" s="19"/>
      <c r="G388" s="19"/>
    </row>
    <row r="389">
      <c r="B389" s="19"/>
      <c r="C389" s="19"/>
      <c r="F389" s="19"/>
      <c r="G389" s="19"/>
    </row>
    <row r="390">
      <c r="B390" s="19"/>
      <c r="C390" s="19"/>
      <c r="F390" s="19"/>
      <c r="G390" s="19"/>
    </row>
    <row r="391">
      <c r="B391" s="19"/>
      <c r="C391" s="19"/>
      <c r="F391" s="19"/>
      <c r="G391" s="19"/>
    </row>
    <row r="392">
      <c r="B392" s="19"/>
      <c r="C392" s="19"/>
      <c r="F392" s="19"/>
      <c r="G392" s="19"/>
    </row>
    <row r="393">
      <c r="B393" s="19"/>
      <c r="C393" s="19"/>
      <c r="F393" s="19"/>
      <c r="G393" s="19"/>
    </row>
    <row r="394">
      <c r="B394" s="19"/>
      <c r="C394" s="19"/>
      <c r="F394" s="19"/>
      <c r="G394" s="19"/>
    </row>
    <row r="395">
      <c r="B395" s="19"/>
      <c r="C395" s="19"/>
      <c r="F395" s="19"/>
      <c r="G395" s="19"/>
    </row>
    <row r="396">
      <c r="B396" s="19"/>
      <c r="C396" s="19"/>
      <c r="F396" s="19"/>
      <c r="G396" s="19"/>
    </row>
    <row r="397">
      <c r="B397" s="19"/>
      <c r="C397" s="19"/>
      <c r="F397" s="19"/>
      <c r="G397" s="19"/>
    </row>
    <row r="398">
      <c r="B398" s="19"/>
      <c r="C398" s="19"/>
      <c r="F398" s="19"/>
      <c r="G398" s="19"/>
    </row>
    <row r="399">
      <c r="B399" s="19"/>
      <c r="C399" s="19"/>
      <c r="F399" s="19"/>
      <c r="G399" s="19"/>
    </row>
    <row r="400">
      <c r="B400" s="19"/>
      <c r="C400" s="19"/>
      <c r="F400" s="19"/>
      <c r="G400" s="19"/>
    </row>
    <row r="401">
      <c r="B401" s="19"/>
      <c r="C401" s="19"/>
      <c r="F401" s="19"/>
      <c r="G401" s="19"/>
    </row>
    <row r="402">
      <c r="B402" s="19"/>
      <c r="C402" s="19"/>
      <c r="F402" s="19"/>
      <c r="G402" s="19"/>
    </row>
    <row r="403">
      <c r="B403" s="19"/>
      <c r="C403" s="19"/>
      <c r="F403" s="19"/>
      <c r="G403" s="19"/>
    </row>
    <row r="404">
      <c r="B404" s="19"/>
      <c r="C404" s="19"/>
      <c r="F404" s="19"/>
      <c r="G404" s="19"/>
    </row>
    <row r="405">
      <c r="B405" s="19"/>
      <c r="C405" s="19"/>
      <c r="F405" s="19"/>
      <c r="G405" s="19"/>
    </row>
    <row r="406">
      <c r="B406" s="19"/>
      <c r="C406" s="19"/>
      <c r="F406" s="19"/>
      <c r="G406" s="19"/>
    </row>
    <row r="407">
      <c r="B407" s="19"/>
      <c r="C407" s="19"/>
      <c r="F407" s="19"/>
      <c r="G407" s="19"/>
    </row>
    <row r="408">
      <c r="B408" s="19"/>
      <c r="C408" s="19"/>
      <c r="F408" s="19"/>
      <c r="G408" s="19"/>
    </row>
    <row r="409">
      <c r="B409" s="19"/>
      <c r="C409" s="19"/>
      <c r="F409" s="19"/>
      <c r="G409" s="19"/>
    </row>
    <row r="410">
      <c r="B410" s="19"/>
      <c r="C410" s="19"/>
      <c r="F410" s="19"/>
      <c r="G410" s="19"/>
    </row>
    <row r="411">
      <c r="B411" s="19"/>
      <c r="C411" s="19"/>
      <c r="F411" s="19"/>
      <c r="G411" s="19"/>
    </row>
    <row r="412">
      <c r="B412" s="19"/>
      <c r="C412" s="19"/>
      <c r="F412" s="19"/>
      <c r="G412" s="19"/>
    </row>
    <row r="413">
      <c r="B413" s="19"/>
      <c r="C413" s="19"/>
      <c r="F413" s="19"/>
      <c r="G413" s="19"/>
    </row>
    <row r="414">
      <c r="B414" s="19"/>
      <c r="C414" s="19"/>
      <c r="F414" s="19"/>
      <c r="G414" s="19"/>
    </row>
    <row r="415">
      <c r="B415" s="19"/>
      <c r="C415" s="19"/>
      <c r="F415" s="19"/>
      <c r="G415" s="19"/>
    </row>
    <row r="416">
      <c r="B416" s="19"/>
      <c r="C416" s="19"/>
      <c r="F416" s="19"/>
      <c r="G416" s="19"/>
    </row>
    <row r="417">
      <c r="B417" s="19"/>
      <c r="C417" s="19"/>
      <c r="F417" s="19"/>
      <c r="G417" s="19"/>
    </row>
    <row r="418">
      <c r="B418" s="19"/>
      <c r="C418" s="19"/>
      <c r="F418" s="19"/>
      <c r="G418" s="19"/>
    </row>
    <row r="419">
      <c r="B419" s="19"/>
      <c r="C419" s="19"/>
      <c r="F419" s="19"/>
      <c r="G419" s="19"/>
    </row>
    <row r="420">
      <c r="B420" s="19"/>
      <c r="C420" s="19"/>
      <c r="F420" s="19"/>
      <c r="G420" s="19"/>
    </row>
    <row r="421">
      <c r="B421" s="19"/>
      <c r="C421" s="19"/>
      <c r="F421" s="19"/>
      <c r="G421" s="19"/>
    </row>
    <row r="422">
      <c r="B422" s="19"/>
      <c r="C422" s="19"/>
      <c r="F422" s="19"/>
      <c r="G422" s="19"/>
    </row>
    <row r="423">
      <c r="B423" s="19"/>
      <c r="C423" s="19"/>
      <c r="F423" s="19"/>
      <c r="G423" s="19"/>
    </row>
    <row r="424">
      <c r="B424" s="19"/>
      <c r="C424" s="19"/>
      <c r="F424" s="19"/>
      <c r="G424" s="19"/>
    </row>
    <row r="425">
      <c r="B425" s="19"/>
      <c r="C425" s="19"/>
      <c r="F425" s="19"/>
      <c r="G425" s="19"/>
    </row>
    <row r="426">
      <c r="B426" s="19"/>
      <c r="C426" s="19"/>
      <c r="F426" s="19"/>
      <c r="G426" s="19"/>
    </row>
    <row r="427">
      <c r="B427" s="19"/>
      <c r="C427" s="19"/>
      <c r="F427" s="19"/>
      <c r="G427" s="19"/>
    </row>
    <row r="428">
      <c r="B428" s="19"/>
      <c r="C428" s="19"/>
      <c r="F428" s="19"/>
      <c r="G428" s="19"/>
    </row>
    <row r="429">
      <c r="B429" s="19"/>
      <c r="C429" s="19"/>
      <c r="F429" s="19"/>
      <c r="G429" s="19"/>
    </row>
    <row r="430">
      <c r="B430" s="19"/>
      <c r="C430" s="19"/>
      <c r="F430" s="19"/>
      <c r="G430" s="19"/>
    </row>
    <row r="431">
      <c r="B431" s="19"/>
      <c r="C431" s="19"/>
      <c r="F431" s="19"/>
      <c r="G431" s="19"/>
    </row>
    <row r="432">
      <c r="B432" s="19"/>
      <c r="C432" s="19"/>
      <c r="F432" s="19"/>
      <c r="G432" s="19"/>
    </row>
    <row r="433">
      <c r="B433" s="19"/>
      <c r="C433" s="19"/>
      <c r="F433" s="19"/>
      <c r="G433" s="19"/>
    </row>
    <row r="434">
      <c r="B434" s="19"/>
      <c r="C434" s="19"/>
      <c r="F434" s="19"/>
      <c r="G434" s="19"/>
    </row>
    <row r="435">
      <c r="B435" s="19"/>
      <c r="C435" s="19"/>
      <c r="F435" s="19"/>
      <c r="G435" s="19"/>
    </row>
    <row r="436">
      <c r="B436" s="19"/>
      <c r="C436" s="19"/>
      <c r="F436" s="19"/>
      <c r="G436" s="19"/>
    </row>
    <row r="437">
      <c r="B437" s="19"/>
      <c r="C437" s="19"/>
      <c r="F437" s="19"/>
      <c r="G437" s="19"/>
    </row>
    <row r="438">
      <c r="B438" s="19"/>
      <c r="C438" s="19"/>
      <c r="F438" s="19"/>
      <c r="G438" s="19"/>
    </row>
    <row r="439">
      <c r="B439" s="19"/>
      <c r="C439" s="19"/>
      <c r="F439" s="19"/>
      <c r="G439" s="19"/>
    </row>
    <row r="440">
      <c r="B440" s="19"/>
      <c r="C440" s="19"/>
      <c r="F440" s="19"/>
      <c r="G440" s="19"/>
    </row>
    <row r="441">
      <c r="B441" s="19"/>
      <c r="C441" s="19"/>
      <c r="F441" s="19"/>
      <c r="G441" s="19"/>
    </row>
    <row r="442">
      <c r="B442" s="19"/>
      <c r="C442" s="19"/>
      <c r="F442" s="19"/>
      <c r="G442" s="19"/>
    </row>
    <row r="443">
      <c r="B443" s="19"/>
      <c r="C443" s="19"/>
      <c r="F443" s="19"/>
      <c r="G443" s="19"/>
    </row>
    <row r="444">
      <c r="B444" s="19"/>
      <c r="C444" s="19"/>
      <c r="F444" s="19"/>
      <c r="G444" s="19"/>
    </row>
    <row r="445">
      <c r="B445" s="19"/>
      <c r="C445" s="19"/>
      <c r="F445" s="19"/>
      <c r="G445" s="19"/>
    </row>
    <row r="446">
      <c r="B446" s="19"/>
      <c r="C446" s="19"/>
      <c r="F446" s="19"/>
      <c r="G446" s="19"/>
    </row>
    <row r="447">
      <c r="B447" s="19"/>
      <c r="C447" s="19"/>
      <c r="F447" s="19"/>
      <c r="G447" s="19"/>
    </row>
    <row r="448">
      <c r="B448" s="19"/>
      <c r="C448" s="19"/>
      <c r="F448" s="19"/>
      <c r="G448" s="19"/>
    </row>
    <row r="449">
      <c r="B449" s="19"/>
      <c r="C449" s="19"/>
      <c r="F449" s="19"/>
      <c r="G449" s="19"/>
    </row>
    <row r="450">
      <c r="B450" s="19"/>
      <c r="C450" s="19"/>
      <c r="F450" s="19"/>
      <c r="G450" s="19"/>
    </row>
    <row r="451">
      <c r="B451" s="19"/>
      <c r="C451" s="19"/>
      <c r="F451" s="19"/>
      <c r="G451" s="19"/>
    </row>
    <row r="452">
      <c r="B452" s="19"/>
      <c r="C452" s="19"/>
      <c r="F452" s="19"/>
      <c r="G452" s="19"/>
    </row>
    <row r="453">
      <c r="B453" s="19"/>
      <c r="C453" s="19"/>
      <c r="F453" s="19"/>
      <c r="G453" s="19"/>
    </row>
    <row r="454">
      <c r="B454" s="19"/>
      <c r="C454" s="19"/>
      <c r="F454" s="19"/>
      <c r="G454" s="19"/>
    </row>
    <row r="455">
      <c r="B455" s="19"/>
      <c r="C455" s="19"/>
      <c r="F455" s="19"/>
      <c r="G455" s="19"/>
    </row>
    <row r="456">
      <c r="B456" s="19"/>
      <c r="C456" s="19"/>
      <c r="F456" s="19"/>
      <c r="G456" s="19"/>
    </row>
    <row r="457">
      <c r="B457" s="19"/>
      <c r="C457" s="19"/>
      <c r="F457" s="19"/>
      <c r="G457" s="19"/>
    </row>
    <row r="458">
      <c r="B458" s="19"/>
      <c r="C458" s="19"/>
      <c r="F458" s="19"/>
      <c r="G458" s="19"/>
    </row>
    <row r="459">
      <c r="B459" s="19"/>
      <c r="C459" s="19"/>
      <c r="F459" s="19"/>
      <c r="G459" s="19"/>
    </row>
    <row r="460">
      <c r="B460" s="19"/>
      <c r="C460" s="19"/>
      <c r="F460" s="19"/>
      <c r="G460" s="19"/>
    </row>
    <row r="461">
      <c r="B461" s="19"/>
      <c r="C461" s="19"/>
      <c r="F461" s="19"/>
      <c r="G461" s="19"/>
    </row>
    <row r="462">
      <c r="B462" s="19"/>
      <c r="C462" s="19"/>
      <c r="F462" s="19"/>
      <c r="G462" s="19"/>
    </row>
    <row r="463">
      <c r="B463" s="19"/>
      <c r="C463" s="19"/>
      <c r="F463" s="19"/>
      <c r="G463" s="19"/>
    </row>
    <row r="464">
      <c r="B464" s="19"/>
      <c r="C464" s="19"/>
      <c r="F464" s="19"/>
      <c r="G464" s="19"/>
    </row>
    <row r="465">
      <c r="B465" s="19"/>
      <c r="C465" s="19"/>
      <c r="F465" s="19"/>
      <c r="G465" s="19"/>
    </row>
    <row r="466">
      <c r="B466" s="19"/>
      <c r="C466" s="19"/>
      <c r="F466" s="19"/>
      <c r="G466" s="19"/>
    </row>
    <row r="467">
      <c r="B467" s="19"/>
      <c r="C467" s="19"/>
      <c r="F467" s="19"/>
      <c r="G467" s="19"/>
    </row>
    <row r="468">
      <c r="B468" s="19"/>
      <c r="C468" s="19"/>
      <c r="F468" s="19"/>
      <c r="G468" s="19"/>
    </row>
    <row r="469">
      <c r="B469" s="19"/>
      <c r="C469" s="19"/>
      <c r="F469" s="19"/>
      <c r="G469" s="19"/>
    </row>
    <row r="470">
      <c r="B470" s="19"/>
      <c r="C470" s="19"/>
      <c r="F470" s="19"/>
      <c r="G470" s="19"/>
    </row>
    <row r="471">
      <c r="B471" s="19"/>
      <c r="C471" s="19"/>
      <c r="F471" s="19"/>
      <c r="G471" s="19"/>
    </row>
    <row r="472">
      <c r="B472" s="19"/>
      <c r="C472" s="19"/>
      <c r="F472" s="19"/>
      <c r="G472" s="19"/>
    </row>
    <row r="473">
      <c r="B473" s="19"/>
      <c r="C473" s="19"/>
      <c r="F473" s="19"/>
      <c r="G473" s="19"/>
    </row>
    <row r="474">
      <c r="B474" s="19"/>
      <c r="C474" s="19"/>
      <c r="F474" s="19"/>
      <c r="G474" s="19"/>
    </row>
    <row r="475">
      <c r="B475" s="19"/>
      <c r="C475" s="19"/>
      <c r="F475" s="19"/>
      <c r="G475" s="19"/>
    </row>
    <row r="476">
      <c r="B476" s="19"/>
      <c r="C476" s="19"/>
      <c r="F476" s="19"/>
      <c r="G476" s="19"/>
    </row>
    <row r="477">
      <c r="B477" s="19"/>
      <c r="C477" s="19"/>
      <c r="F477" s="19"/>
      <c r="G477" s="19"/>
    </row>
    <row r="478">
      <c r="B478" s="19"/>
      <c r="C478" s="19"/>
      <c r="F478" s="19"/>
      <c r="G478" s="19"/>
    </row>
    <row r="479">
      <c r="B479" s="19"/>
      <c r="C479" s="19"/>
      <c r="F479" s="19"/>
      <c r="G479" s="19"/>
    </row>
    <row r="480">
      <c r="B480" s="19"/>
      <c r="C480" s="19"/>
      <c r="F480" s="19"/>
      <c r="G480" s="19"/>
    </row>
    <row r="481">
      <c r="B481" s="19"/>
      <c r="C481" s="19"/>
      <c r="F481" s="19"/>
      <c r="G481" s="19"/>
    </row>
    <row r="482">
      <c r="B482" s="19"/>
      <c r="C482" s="19"/>
      <c r="F482" s="19"/>
      <c r="G482" s="19"/>
    </row>
    <row r="483">
      <c r="B483" s="19"/>
      <c r="C483" s="19"/>
      <c r="F483" s="19"/>
      <c r="G483" s="19"/>
    </row>
    <row r="484">
      <c r="B484" s="19"/>
      <c r="C484" s="19"/>
      <c r="F484" s="19"/>
      <c r="G484" s="19"/>
    </row>
    <row r="485">
      <c r="B485" s="19"/>
      <c r="C485" s="19"/>
      <c r="F485" s="19"/>
      <c r="G485" s="19"/>
    </row>
    <row r="486">
      <c r="B486" s="19"/>
      <c r="C486" s="19"/>
      <c r="F486" s="19"/>
      <c r="G486" s="19"/>
    </row>
    <row r="487">
      <c r="B487" s="19"/>
      <c r="C487" s="19"/>
      <c r="F487" s="19"/>
      <c r="G487" s="19"/>
    </row>
    <row r="488">
      <c r="B488" s="19"/>
      <c r="C488" s="19"/>
      <c r="F488" s="19"/>
      <c r="G488" s="19"/>
    </row>
    <row r="489">
      <c r="B489" s="19"/>
      <c r="C489" s="19"/>
      <c r="F489" s="19"/>
      <c r="G489" s="19"/>
    </row>
    <row r="490">
      <c r="B490" s="19"/>
      <c r="C490" s="19"/>
      <c r="F490" s="19"/>
      <c r="G490" s="19"/>
    </row>
    <row r="491">
      <c r="B491" s="19"/>
      <c r="C491" s="19"/>
      <c r="F491" s="19"/>
      <c r="G491" s="19"/>
    </row>
    <row r="492">
      <c r="B492" s="19"/>
      <c r="C492" s="19"/>
      <c r="F492" s="19"/>
      <c r="G492" s="19"/>
    </row>
    <row r="493">
      <c r="B493" s="19"/>
      <c r="C493" s="19"/>
      <c r="F493" s="19"/>
      <c r="G493" s="19"/>
    </row>
    <row r="494">
      <c r="B494" s="19"/>
      <c r="C494" s="19"/>
      <c r="F494" s="19"/>
      <c r="G494" s="19"/>
    </row>
    <row r="495">
      <c r="B495" s="19"/>
      <c r="C495" s="19"/>
      <c r="F495" s="19"/>
      <c r="G495" s="19"/>
    </row>
    <row r="496">
      <c r="B496" s="19"/>
      <c r="C496" s="19"/>
      <c r="F496" s="19"/>
      <c r="G496" s="19"/>
    </row>
    <row r="497">
      <c r="B497" s="19"/>
      <c r="C497" s="19"/>
      <c r="F497" s="19"/>
      <c r="G497" s="19"/>
    </row>
    <row r="498">
      <c r="B498" s="19"/>
      <c r="C498" s="19"/>
      <c r="F498" s="19"/>
      <c r="G498" s="19"/>
    </row>
    <row r="499">
      <c r="B499" s="19"/>
      <c r="C499" s="19"/>
      <c r="F499" s="19"/>
      <c r="G499" s="19"/>
    </row>
    <row r="500">
      <c r="B500" s="19"/>
      <c r="C500" s="19"/>
      <c r="F500" s="19"/>
      <c r="G500" s="19"/>
    </row>
    <row r="501">
      <c r="B501" s="19"/>
      <c r="C501" s="19"/>
      <c r="F501" s="19"/>
      <c r="G501" s="19"/>
    </row>
    <row r="502">
      <c r="B502" s="19"/>
      <c r="C502" s="19"/>
      <c r="F502" s="19"/>
      <c r="G502" s="19"/>
    </row>
    <row r="503">
      <c r="B503" s="19"/>
      <c r="C503" s="19"/>
      <c r="F503" s="19"/>
      <c r="G503" s="19"/>
    </row>
    <row r="504">
      <c r="B504" s="19"/>
      <c r="C504" s="19"/>
      <c r="F504" s="19"/>
      <c r="G504" s="19"/>
    </row>
    <row r="505">
      <c r="B505" s="19"/>
      <c r="C505" s="19"/>
      <c r="F505" s="19"/>
      <c r="G505" s="19"/>
    </row>
    <row r="506">
      <c r="B506" s="19"/>
      <c r="C506" s="19"/>
      <c r="F506" s="19"/>
      <c r="G506" s="19"/>
    </row>
    <row r="507">
      <c r="B507" s="19"/>
      <c r="C507" s="19"/>
      <c r="F507" s="19"/>
      <c r="G507" s="19"/>
    </row>
    <row r="508">
      <c r="B508" s="19"/>
      <c r="C508" s="19"/>
      <c r="F508" s="19"/>
      <c r="G508" s="19"/>
    </row>
    <row r="509">
      <c r="B509" s="19"/>
      <c r="C509" s="19"/>
      <c r="F509" s="19"/>
      <c r="G509" s="19"/>
    </row>
    <row r="510">
      <c r="B510" s="19"/>
      <c r="C510" s="19"/>
      <c r="F510" s="19"/>
      <c r="G510" s="19"/>
    </row>
    <row r="511">
      <c r="B511" s="19"/>
      <c r="C511" s="19"/>
      <c r="F511" s="19"/>
      <c r="G511" s="19"/>
    </row>
    <row r="512">
      <c r="B512" s="19"/>
      <c r="C512" s="19"/>
      <c r="F512" s="19"/>
      <c r="G512" s="19"/>
    </row>
    <row r="513">
      <c r="B513" s="19"/>
      <c r="C513" s="19"/>
      <c r="F513" s="19"/>
      <c r="G513" s="19"/>
    </row>
    <row r="514">
      <c r="B514" s="19"/>
      <c r="C514" s="19"/>
      <c r="F514" s="19"/>
      <c r="G514" s="19"/>
    </row>
    <row r="515">
      <c r="B515" s="19"/>
      <c r="C515" s="19"/>
      <c r="F515" s="19"/>
      <c r="G515" s="19"/>
    </row>
    <row r="516">
      <c r="B516" s="19"/>
      <c r="C516" s="19"/>
      <c r="F516" s="19"/>
      <c r="G516" s="19"/>
    </row>
    <row r="517">
      <c r="B517" s="19"/>
      <c r="C517" s="19"/>
      <c r="F517" s="19"/>
      <c r="G517" s="19"/>
    </row>
    <row r="518">
      <c r="B518" s="19"/>
      <c r="C518" s="19"/>
      <c r="F518" s="19"/>
      <c r="G518" s="19"/>
    </row>
    <row r="519">
      <c r="B519" s="19"/>
      <c r="C519" s="19"/>
      <c r="F519" s="19"/>
      <c r="G519" s="19"/>
    </row>
    <row r="520">
      <c r="B520" s="19"/>
      <c r="C520" s="19"/>
      <c r="F520" s="19"/>
      <c r="G520" s="19"/>
    </row>
    <row r="521">
      <c r="B521" s="19"/>
      <c r="C521" s="19"/>
      <c r="F521" s="19"/>
      <c r="G521" s="19"/>
    </row>
    <row r="522">
      <c r="B522" s="19"/>
      <c r="C522" s="19"/>
      <c r="F522" s="19"/>
      <c r="G522" s="19"/>
    </row>
    <row r="523">
      <c r="B523" s="19"/>
      <c r="C523" s="19"/>
      <c r="F523" s="19"/>
      <c r="G523" s="19"/>
    </row>
    <row r="524">
      <c r="B524" s="19"/>
      <c r="C524" s="19"/>
      <c r="F524" s="19"/>
      <c r="G524" s="19"/>
    </row>
    <row r="525">
      <c r="B525" s="19"/>
      <c r="C525" s="19"/>
      <c r="F525" s="19"/>
      <c r="G525" s="19"/>
    </row>
    <row r="526">
      <c r="B526" s="19"/>
      <c r="C526" s="19"/>
      <c r="F526" s="19"/>
      <c r="G526" s="19"/>
    </row>
    <row r="527">
      <c r="B527" s="19"/>
      <c r="C527" s="19"/>
      <c r="F527" s="19"/>
      <c r="G527" s="19"/>
    </row>
    <row r="528">
      <c r="B528" s="19"/>
      <c r="C528" s="19"/>
      <c r="F528" s="19"/>
      <c r="G528" s="19"/>
    </row>
    <row r="529">
      <c r="B529" s="19"/>
      <c r="C529" s="19"/>
      <c r="F529" s="19"/>
      <c r="G529" s="19"/>
    </row>
    <row r="530">
      <c r="B530" s="19"/>
      <c r="C530" s="19"/>
      <c r="F530" s="19"/>
      <c r="G530" s="19"/>
    </row>
    <row r="531">
      <c r="B531" s="19"/>
      <c r="C531" s="19"/>
      <c r="F531" s="19"/>
      <c r="G531" s="19"/>
    </row>
    <row r="532">
      <c r="B532" s="19"/>
      <c r="C532" s="19"/>
      <c r="F532" s="19"/>
      <c r="G532" s="19"/>
    </row>
    <row r="533">
      <c r="B533" s="19"/>
      <c r="C533" s="19"/>
      <c r="F533" s="19"/>
      <c r="G533" s="19"/>
    </row>
    <row r="534">
      <c r="B534" s="19"/>
      <c r="C534" s="19"/>
      <c r="F534" s="19"/>
      <c r="G534" s="19"/>
    </row>
    <row r="535">
      <c r="B535" s="19"/>
      <c r="C535" s="19"/>
      <c r="F535" s="19"/>
      <c r="G535" s="19"/>
    </row>
    <row r="536">
      <c r="B536" s="19"/>
      <c r="C536" s="19"/>
      <c r="F536" s="19"/>
      <c r="G536" s="19"/>
    </row>
    <row r="537">
      <c r="B537" s="19"/>
      <c r="C537" s="19"/>
      <c r="F537" s="19"/>
      <c r="G537" s="19"/>
    </row>
    <row r="538">
      <c r="B538" s="19"/>
      <c r="C538" s="19"/>
      <c r="F538" s="19"/>
      <c r="G538" s="19"/>
    </row>
    <row r="539">
      <c r="B539" s="19"/>
      <c r="C539" s="19"/>
      <c r="F539" s="19"/>
      <c r="G539" s="19"/>
    </row>
    <row r="540">
      <c r="B540" s="19"/>
      <c r="C540" s="19"/>
      <c r="F540" s="19"/>
      <c r="G540" s="19"/>
    </row>
    <row r="541">
      <c r="B541" s="19"/>
      <c r="C541" s="19"/>
      <c r="F541" s="19"/>
      <c r="G541" s="19"/>
    </row>
    <row r="542">
      <c r="B542" s="19"/>
      <c r="C542" s="19"/>
      <c r="F542" s="19"/>
      <c r="G542" s="19"/>
    </row>
    <row r="543">
      <c r="B543" s="19"/>
      <c r="C543" s="19"/>
      <c r="F543" s="19"/>
      <c r="G543" s="19"/>
    </row>
    <row r="544">
      <c r="B544" s="19"/>
      <c r="C544" s="19"/>
      <c r="F544" s="19"/>
      <c r="G544" s="19"/>
    </row>
    <row r="545">
      <c r="B545" s="19"/>
      <c r="C545" s="19"/>
      <c r="F545" s="19"/>
      <c r="G545" s="19"/>
    </row>
    <row r="546">
      <c r="B546" s="19"/>
      <c r="C546" s="19"/>
      <c r="F546" s="19"/>
      <c r="G546" s="19"/>
    </row>
    <row r="547">
      <c r="B547" s="19"/>
      <c r="C547" s="19"/>
      <c r="F547" s="19"/>
      <c r="G547" s="19"/>
    </row>
    <row r="548">
      <c r="B548" s="19"/>
      <c r="C548" s="19"/>
      <c r="F548" s="19"/>
      <c r="G548" s="19"/>
    </row>
    <row r="549">
      <c r="B549" s="19"/>
      <c r="C549" s="19"/>
      <c r="F549" s="19"/>
      <c r="G549" s="19"/>
    </row>
    <row r="550">
      <c r="B550" s="19"/>
      <c r="C550" s="19"/>
      <c r="F550" s="19"/>
      <c r="G550" s="19"/>
    </row>
    <row r="551">
      <c r="B551" s="19"/>
      <c r="C551" s="19"/>
      <c r="F551" s="19"/>
      <c r="G551" s="19"/>
    </row>
    <row r="552">
      <c r="B552" s="19"/>
      <c r="C552" s="19"/>
      <c r="F552" s="19"/>
      <c r="G552" s="19"/>
    </row>
    <row r="553">
      <c r="B553" s="19"/>
      <c r="C553" s="19"/>
      <c r="F553" s="19"/>
      <c r="G553" s="19"/>
    </row>
    <row r="554">
      <c r="B554" s="19"/>
      <c r="C554" s="19"/>
      <c r="F554" s="19"/>
      <c r="G554" s="19"/>
    </row>
    <row r="555">
      <c r="B555" s="19"/>
      <c r="C555" s="19"/>
      <c r="F555" s="19"/>
      <c r="G555" s="19"/>
    </row>
    <row r="556">
      <c r="B556" s="19"/>
      <c r="C556" s="19"/>
      <c r="F556" s="19"/>
      <c r="G556" s="19"/>
    </row>
    <row r="557">
      <c r="B557" s="19"/>
      <c r="C557" s="19"/>
      <c r="F557" s="19"/>
      <c r="G557" s="19"/>
    </row>
    <row r="558">
      <c r="B558" s="19"/>
      <c r="C558" s="19"/>
      <c r="F558" s="19"/>
      <c r="G558" s="19"/>
    </row>
    <row r="559">
      <c r="B559" s="19"/>
      <c r="C559" s="19"/>
      <c r="F559" s="19"/>
      <c r="G559" s="19"/>
    </row>
    <row r="560">
      <c r="B560" s="19"/>
      <c r="C560" s="19"/>
      <c r="F560" s="19"/>
      <c r="G560" s="19"/>
    </row>
    <row r="561">
      <c r="B561" s="19"/>
      <c r="C561" s="19"/>
      <c r="F561" s="19"/>
      <c r="G561" s="19"/>
    </row>
    <row r="562">
      <c r="B562" s="19"/>
      <c r="C562" s="19"/>
      <c r="F562" s="19"/>
      <c r="G562" s="19"/>
    </row>
    <row r="563">
      <c r="B563" s="19"/>
      <c r="C563" s="19"/>
      <c r="F563" s="19"/>
      <c r="G563" s="19"/>
    </row>
    <row r="564">
      <c r="B564" s="19"/>
      <c r="C564" s="19"/>
      <c r="F564" s="19"/>
      <c r="G564" s="19"/>
    </row>
    <row r="565">
      <c r="B565" s="19"/>
      <c r="C565" s="19"/>
      <c r="F565" s="19"/>
      <c r="G565" s="19"/>
    </row>
    <row r="566">
      <c r="B566" s="19"/>
      <c r="C566" s="19"/>
      <c r="F566" s="19"/>
      <c r="G566" s="19"/>
    </row>
    <row r="567">
      <c r="B567" s="19"/>
      <c r="C567" s="19"/>
      <c r="F567" s="19"/>
      <c r="G567" s="19"/>
    </row>
    <row r="568">
      <c r="B568" s="19"/>
      <c r="C568" s="19"/>
      <c r="F568" s="19"/>
      <c r="G568" s="19"/>
    </row>
    <row r="569">
      <c r="B569" s="19"/>
      <c r="C569" s="19"/>
      <c r="F569" s="19"/>
      <c r="G569" s="19"/>
    </row>
    <row r="570">
      <c r="B570" s="19"/>
      <c r="C570" s="19"/>
      <c r="F570" s="19"/>
      <c r="G570" s="19"/>
    </row>
    <row r="571">
      <c r="B571" s="19"/>
      <c r="C571" s="19"/>
      <c r="F571" s="19"/>
      <c r="G571" s="19"/>
    </row>
    <row r="572">
      <c r="B572" s="19"/>
      <c r="C572" s="19"/>
      <c r="F572" s="19"/>
      <c r="G572" s="19"/>
    </row>
    <row r="573">
      <c r="B573" s="19"/>
      <c r="C573" s="19"/>
      <c r="F573" s="19"/>
      <c r="G573" s="19"/>
    </row>
    <row r="574">
      <c r="B574" s="19"/>
      <c r="C574" s="19"/>
      <c r="F574" s="19"/>
      <c r="G574" s="19"/>
    </row>
    <row r="575">
      <c r="B575" s="19"/>
      <c r="C575" s="19"/>
      <c r="F575" s="19"/>
      <c r="G575" s="19"/>
    </row>
    <row r="576">
      <c r="B576" s="19"/>
      <c r="C576" s="19"/>
      <c r="F576" s="19"/>
      <c r="G576" s="19"/>
    </row>
    <row r="577">
      <c r="B577" s="19"/>
      <c r="C577" s="19"/>
      <c r="F577" s="19"/>
      <c r="G577" s="19"/>
    </row>
    <row r="578">
      <c r="B578" s="19"/>
      <c r="C578" s="19"/>
      <c r="F578" s="19"/>
      <c r="G578" s="19"/>
    </row>
    <row r="579">
      <c r="B579" s="19"/>
      <c r="C579" s="19"/>
      <c r="F579" s="19"/>
      <c r="G579" s="19"/>
    </row>
    <row r="580">
      <c r="B580" s="19"/>
      <c r="C580" s="19"/>
      <c r="F580" s="19"/>
      <c r="G580" s="19"/>
    </row>
    <row r="581">
      <c r="B581" s="19"/>
      <c r="C581" s="19"/>
      <c r="F581" s="19"/>
      <c r="G581" s="19"/>
    </row>
    <row r="582">
      <c r="B582" s="19"/>
      <c r="C582" s="19"/>
      <c r="F582" s="19"/>
      <c r="G582" s="19"/>
    </row>
    <row r="583">
      <c r="B583" s="19"/>
      <c r="C583" s="19"/>
      <c r="F583" s="19"/>
      <c r="G583" s="19"/>
    </row>
    <row r="584">
      <c r="B584" s="19"/>
      <c r="C584" s="19"/>
      <c r="F584" s="19"/>
      <c r="G584" s="19"/>
    </row>
    <row r="585">
      <c r="B585" s="19"/>
      <c r="C585" s="19"/>
      <c r="F585" s="19"/>
      <c r="G585" s="19"/>
    </row>
    <row r="586">
      <c r="B586" s="19"/>
      <c r="C586" s="19"/>
      <c r="F586" s="19"/>
      <c r="G586" s="19"/>
    </row>
    <row r="587">
      <c r="B587" s="19"/>
      <c r="C587" s="19"/>
      <c r="F587" s="19"/>
      <c r="G587" s="19"/>
    </row>
    <row r="588">
      <c r="B588" s="19"/>
      <c r="C588" s="19"/>
      <c r="F588" s="19"/>
      <c r="G588" s="19"/>
    </row>
    <row r="589">
      <c r="B589" s="19"/>
      <c r="C589" s="19"/>
      <c r="F589" s="19"/>
      <c r="G589" s="19"/>
    </row>
    <row r="590">
      <c r="B590" s="19"/>
      <c r="C590" s="19"/>
      <c r="F590" s="19"/>
      <c r="G590" s="19"/>
    </row>
    <row r="591">
      <c r="B591" s="19"/>
      <c r="C591" s="19"/>
      <c r="F591" s="19"/>
      <c r="G591" s="19"/>
    </row>
    <row r="592">
      <c r="B592" s="19"/>
      <c r="C592" s="19"/>
      <c r="F592" s="19"/>
      <c r="G592" s="19"/>
    </row>
    <row r="593">
      <c r="B593" s="19"/>
      <c r="C593" s="19"/>
      <c r="F593" s="19"/>
      <c r="G593" s="19"/>
    </row>
    <row r="594">
      <c r="B594" s="19"/>
      <c r="C594" s="19"/>
      <c r="F594" s="19"/>
      <c r="G594" s="19"/>
    </row>
    <row r="595">
      <c r="B595" s="19"/>
      <c r="C595" s="19"/>
      <c r="F595" s="19"/>
      <c r="G595" s="19"/>
    </row>
    <row r="596">
      <c r="B596" s="19"/>
      <c r="C596" s="19"/>
      <c r="F596" s="19"/>
      <c r="G596" s="19"/>
    </row>
    <row r="597">
      <c r="B597" s="19"/>
      <c r="C597" s="19"/>
      <c r="F597" s="19"/>
      <c r="G597" s="19"/>
    </row>
    <row r="598">
      <c r="B598" s="19"/>
      <c r="C598" s="19"/>
      <c r="F598" s="19"/>
      <c r="G598" s="19"/>
    </row>
    <row r="599">
      <c r="B599" s="19"/>
      <c r="C599" s="19"/>
      <c r="F599" s="19"/>
      <c r="G599" s="19"/>
    </row>
    <row r="600">
      <c r="B600" s="19"/>
      <c r="C600" s="19"/>
      <c r="F600" s="19"/>
      <c r="G600" s="19"/>
    </row>
    <row r="601">
      <c r="B601" s="19"/>
      <c r="C601" s="19"/>
      <c r="F601" s="19"/>
      <c r="G601" s="19"/>
    </row>
    <row r="602">
      <c r="B602" s="19"/>
      <c r="C602" s="19"/>
      <c r="F602" s="19"/>
      <c r="G602" s="19"/>
    </row>
    <row r="603">
      <c r="B603" s="19"/>
      <c r="C603" s="19"/>
      <c r="F603" s="19"/>
      <c r="G603" s="19"/>
    </row>
    <row r="604">
      <c r="B604" s="19"/>
      <c r="C604" s="19"/>
      <c r="F604" s="19"/>
      <c r="G604" s="19"/>
    </row>
    <row r="605">
      <c r="B605" s="19"/>
      <c r="C605" s="19"/>
      <c r="F605" s="19"/>
      <c r="G605" s="19"/>
    </row>
    <row r="606">
      <c r="B606" s="19"/>
      <c r="C606" s="19"/>
      <c r="F606" s="19"/>
      <c r="G606" s="19"/>
    </row>
    <row r="607">
      <c r="B607" s="19"/>
      <c r="C607" s="19"/>
      <c r="F607" s="19"/>
      <c r="G607" s="19"/>
    </row>
    <row r="608">
      <c r="B608" s="19"/>
      <c r="C608" s="19"/>
      <c r="F608" s="19"/>
      <c r="G608" s="19"/>
    </row>
    <row r="609">
      <c r="B609" s="19"/>
      <c r="C609" s="19"/>
      <c r="F609" s="19"/>
      <c r="G609" s="19"/>
    </row>
    <row r="610">
      <c r="B610" s="19"/>
      <c r="C610" s="19"/>
      <c r="F610" s="19"/>
      <c r="G610" s="19"/>
    </row>
    <row r="611">
      <c r="B611" s="19"/>
      <c r="C611" s="19"/>
      <c r="F611" s="19"/>
      <c r="G611" s="19"/>
    </row>
    <row r="612">
      <c r="B612" s="19"/>
      <c r="C612" s="19"/>
      <c r="F612" s="19"/>
      <c r="G612" s="19"/>
    </row>
    <row r="613">
      <c r="B613" s="19"/>
      <c r="C613" s="19"/>
      <c r="F613" s="19"/>
      <c r="G613" s="19"/>
    </row>
    <row r="614">
      <c r="B614" s="19"/>
      <c r="C614" s="19"/>
      <c r="F614" s="19"/>
      <c r="G614" s="19"/>
    </row>
    <row r="615">
      <c r="B615" s="19"/>
      <c r="C615" s="19"/>
      <c r="F615" s="19"/>
      <c r="G615" s="19"/>
    </row>
    <row r="616">
      <c r="B616" s="19"/>
      <c r="C616" s="19"/>
      <c r="F616" s="19"/>
      <c r="G616" s="19"/>
    </row>
    <row r="617">
      <c r="B617" s="19"/>
      <c r="C617" s="19"/>
      <c r="F617" s="19"/>
      <c r="G617" s="19"/>
    </row>
    <row r="618">
      <c r="B618" s="19"/>
      <c r="C618" s="19"/>
      <c r="F618" s="19"/>
      <c r="G618" s="19"/>
    </row>
    <row r="619">
      <c r="B619" s="19"/>
      <c r="C619" s="19"/>
      <c r="F619" s="19"/>
      <c r="G619" s="19"/>
    </row>
    <row r="620">
      <c r="B620" s="19"/>
      <c r="C620" s="19"/>
      <c r="F620" s="19"/>
      <c r="G620" s="19"/>
    </row>
    <row r="621">
      <c r="B621" s="19"/>
      <c r="C621" s="19"/>
      <c r="F621" s="19"/>
      <c r="G621" s="19"/>
    </row>
    <row r="622">
      <c r="B622" s="19"/>
      <c r="C622" s="19"/>
      <c r="F622" s="19"/>
      <c r="G622" s="19"/>
    </row>
    <row r="623">
      <c r="B623" s="19"/>
      <c r="C623" s="19"/>
      <c r="F623" s="19"/>
      <c r="G623" s="19"/>
    </row>
    <row r="624">
      <c r="B624" s="19"/>
      <c r="C624" s="19"/>
      <c r="F624" s="19"/>
      <c r="G624" s="19"/>
    </row>
    <row r="625">
      <c r="B625" s="19"/>
      <c r="C625" s="19"/>
      <c r="F625" s="19"/>
      <c r="G625" s="19"/>
    </row>
    <row r="626">
      <c r="B626" s="19"/>
      <c r="C626" s="19"/>
      <c r="F626" s="19"/>
      <c r="G626" s="19"/>
    </row>
    <row r="627">
      <c r="B627" s="19"/>
      <c r="C627" s="19"/>
      <c r="F627" s="19"/>
      <c r="G627" s="19"/>
    </row>
    <row r="628">
      <c r="B628" s="19"/>
      <c r="C628" s="19"/>
      <c r="F628" s="19"/>
      <c r="G628" s="19"/>
    </row>
    <row r="629">
      <c r="B629" s="19"/>
      <c r="C629" s="19"/>
      <c r="F629" s="19"/>
      <c r="G629" s="19"/>
    </row>
    <row r="630">
      <c r="B630" s="19"/>
      <c r="C630" s="19"/>
      <c r="F630" s="19"/>
      <c r="G630" s="19"/>
    </row>
    <row r="631">
      <c r="B631" s="19"/>
      <c r="C631" s="19"/>
      <c r="F631" s="19"/>
      <c r="G631" s="19"/>
    </row>
    <row r="632">
      <c r="B632" s="19"/>
      <c r="C632" s="19"/>
      <c r="F632" s="19"/>
      <c r="G632" s="19"/>
    </row>
    <row r="633">
      <c r="B633" s="19"/>
      <c r="C633" s="19"/>
      <c r="F633" s="19"/>
      <c r="G633" s="19"/>
    </row>
    <row r="634">
      <c r="B634" s="19"/>
      <c r="C634" s="19"/>
      <c r="F634" s="19"/>
      <c r="G634" s="19"/>
    </row>
    <row r="635">
      <c r="B635" s="19"/>
      <c r="C635" s="19"/>
      <c r="F635" s="19"/>
      <c r="G635" s="19"/>
    </row>
    <row r="636">
      <c r="B636" s="19"/>
      <c r="C636" s="19"/>
      <c r="F636" s="19"/>
      <c r="G636" s="19"/>
    </row>
    <row r="637">
      <c r="B637" s="19"/>
      <c r="C637" s="19"/>
      <c r="F637" s="19"/>
      <c r="G637" s="19"/>
    </row>
    <row r="638">
      <c r="B638" s="19"/>
      <c r="C638" s="19"/>
      <c r="F638" s="19"/>
      <c r="G638" s="19"/>
    </row>
    <row r="639">
      <c r="B639" s="19"/>
      <c r="C639" s="19"/>
      <c r="F639" s="19"/>
      <c r="G639" s="19"/>
    </row>
    <row r="640">
      <c r="B640" s="19"/>
      <c r="C640" s="19"/>
      <c r="F640" s="19"/>
      <c r="G640" s="19"/>
    </row>
    <row r="641">
      <c r="B641" s="19"/>
      <c r="C641" s="19"/>
      <c r="F641" s="19"/>
      <c r="G641" s="19"/>
    </row>
    <row r="642">
      <c r="B642" s="19"/>
      <c r="C642" s="19"/>
      <c r="F642" s="19"/>
      <c r="G642" s="19"/>
    </row>
    <row r="643">
      <c r="B643" s="19"/>
      <c r="C643" s="19"/>
      <c r="F643" s="19"/>
      <c r="G643" s="19"/>
    </row>
    <row r="644">
      <c r="B644" s="19"/>
      <c r="C644" s="19"/>
      <c r="F644" s="19"/>
      <c r="G644" s="19"/>
    </row>
    <row r="645">
      <c r="B645" s="19"/>
      <c r="C645" s="19"/>
      <c r="F645" s="19"/>
      <c r="G645" s="19"/>
    </row>
    <row r="646">
      <c r="B646" s="19"/>
      <c r="C646" s="19"/>
      <c r="F646" s="19"/>
      <c r="G646" s="19"/>
    </row>
    <row r="647">
      <c r="B647" s="19"/>
      <c r="C647" s="19"/>
      <c r="F647" s="19"/>
      <c r="G647" s="19"/>
    </row>
    <row r="648">
      <c r="B648" s="19"/>
      <c r="C648" s="19"/>
      <c r="F648" s="19"/>
      <c r="G648" s="19"/>
    </row>
    <row r="649">
      <c r="B649" s="19"/>
      <c r="C649" s="19"/>
      <c r="F649" s="19"/>
      <c r="G649" s="19"/>
    </row>
    <row r="650">
      <c r="B650" s="19"/>
      <c r="C650" s="19"/>
      <c r="F650" s="19"/>
      <c r="G650" s="19"/>
    </row>
    <row r="651">
      <c r="B651" s="19"/>
      <c r="C651" s="19"/>
      <c r="F651" s="19"/>
      <c r="G651" s="19"/>
    </row>
    <row r="652">
      <c r="B652" s="19"/>
      <c r="C652" s="19"/>
      <c r="F652" s="19"/>
      <c r="G652" s="19"/>
    </row>
    <row r="653">
      <c r="B653" s="19"/>
      <c r="C653" s="19"/>
      <c r="F653" s="19"/>
      <c r="G653" s="19"/>
    </row>
    <row r="654">
      <c r="B654" s="19"/>
      <c r="C654" s="19"/>
      <c r="F654" s="19"/>
      <c r="G654" s="19"/>
    </row>
    <row r="655">
      <c r="B655" s="19"/>
      <c r="C655" s="19"/>
      <c r="F655" s="19"/>
      <c r="G655" s="19"/>
    </row>
    <row r="656">
      <c r="B656" s="19"/>
      <c r="C656" s="19"/>
      <c r="F656" s="19"/>
      <c r="G656" s="19"/>
    </row>
    <row r="657">
      <c r="B657" s="19"/>
      <c r="C657" s="19"/>
      <c r="F657" s="19"/>
      <c r="G657" s="19"/>
    </row>
    <row r="658">
      <c r="B658" s="19"/>
      <c r="C658" s="19"/>
      <c r="F658" s="19"/>
      <c r="G658" s="19"/>
    </row>
    <row r="659">
      <c r="B659" s="19"/>
      <c r="C659" s="19"/>
      <c r="F659" s="19"/>
      <c r="G659" s="19"/>
    </row>
    <row r="660">
      <c r="B660" s="19"/>
      <c r="C660" s="19"/>
      <c r="F660" s="19"/>
      <c r="G660" s="19"/>
    </row>
    <row r="661">
      <c r="B661" s="19"/>
      <c r="C661" s="19"/>
      <c r="F661" s="19"/>
      <c r="G661" s="19"/>
    </row>
    <row r="662">
      <c r="B662" s="19"/>
      <c r="C662" s="19"/>
      <c r="F662" s="19"/>
      <c r="G662" s="19"/>
    </row>
    <row r="663">
      <c r="B663" s="19"/>
      <c r="C663" s="19"/>
      <c r="F663" s="19"/>
      <c r="G663" s="19"/>
    </row>
    <row r="664">
      <c r="B664" s="19"/>
      <c r="C664" s="19"/>
      <c r="F664" s="19"/>
      <c r="G664" s="19"/>
    </row>
    <row r="665">
      <c r="B665" s="19"/>
      <c r="C665" s="19"/>
      <c r="F665" s="19"/>
      <c r="G665" s="19"/>
    </row>
    <row r="666">
      <c r="B666" s="19"/>
      <c r="C666" s="19"/>
      <c r="F666" s="19"/>
      <c r="G666" s="19"/>
    </row>
    <row r="667">
      <c r="B667" s="19"/>
      <c r="C667" s="19"/>
      <c r="F667" s="19"/>
      <c r="G667" s="19"/>
    </row>
    <row r="668">
      <c r="B668" s="19"/>
      <c r="C668" s="19"/>
      <c r="F668" s="19"/>
      <c r="G668" s="19"/>
    </row>
    <row r="669">
      <c r="B669" s="19"/>
      <c r="C669" s="19"/>
      <c r="F669" s="19"/>
      <c r="G669" s="19"/>
    </row>
    <row r="670">
      <c r="B670" s="19"/>
      <c r="C670" s="19"/>
      <c r="F670" s="19"/>
      <c r="G670" s="19"/>
    </row>
    <row r="671">
      <c r="B671" s="19"/>
      <c r="C671" s="19"/>
      <c r="F671" s="19"/>
      <c r="G671" s="19"/>
    </row>
    <row r="672">
      <c r="B672" s="19"/>
      <c r="C672" s="19"/>
      <c r="F672" s="19"/>
      <c r="G672" s="19"/>
    </row>
    <row r="673">
      <c r="B673" s="19"/>
      <c r="C673" s="19"/>
      <c r="F673" s="19"/>
      <c r="G673" s="19"/>
    </row>
    <row r="674">
      <c r="B674" s="19"/>
      <c r="C674" s="19"/>
      <c r="F674" s="19"/>
      <c r="G674" s="19"/>
    </row>
    <row r="675">
      <c r="B675" s="19"/>
      <c r="C675" s="19"/>
      <c r="F675" s="19"/>
      <c r="G675" s="19"/>
    </row>
    <row r="676">
      <c r="B676" s="19"/>
      <c r="C676" s="19"/>
      <c r="F676" s="19"/>
      <c r="G676" s="19"/>
    </row>
    <row r="677">
      <c r="B677" s="19"/>
      <c r="C677" s="19"/>
      <c r="F677" s="19"/>
      <c r="G677" s="19"/>
    </row>
    <row r="678">
      <c r="B678" s="19"/>
      <c r="C678" s="19"/>
      <c r="F678" s="19"/>
      <c r="G678" s="19"/>
    </row>
    <row r="679">
      <c r="B679" s="19"/>
      <c r="C679" s="19"/>
      <c r="F679" s="19"/>
      <c r="G679" s="19"/>
    </row>
    <row r="680">
      <c r="B680" s="19"/>
      <c r="C680" s="19"/>
      <c r="F680" s="19"/>
      <c r="G680" s="19"/>
    </row>
    <row r="681">
      <c r="B681" s="19"/>
      <c r="C681" s="19"/>
      <c r="F681" s="19"/>
      <c r="G681" s="19"/>
    </row>
    <row r="682">
      <c r="B682" s="19"/>
      <c r="C682" s="19"/>
      <c r="F682" s="19"/>
      <c r="G682" s="19"/>
    </row>
    <row r="683">
      <c r="B683" s="19"/>
      <c r="C683" s="19"/>
      <c r="F683" s="19"/>
      <c r="G683" s="19"/>
    </row>
    <row r="684">
      <c r="B684" s="19"/>
      <c r="C684" s="19"/>
      <c r="F684" s="19"/>
      <c r="G684" s="19"/>
    </row>
    <row r="685">
      <c r="B685" s="19"/>
      <c r="C685" s="19"/>
      <c r="F685" s="19"/>
      <c r="G685" s="19"/>
    </row>
    <row r="686">
      <c r="B686" s="19"/>
      <c r="C686" s="19"/>
      <c r="F686" s="19"/>
      <c r="G686" s="19"/>
    </row>
    <row r="687">
      <c r="B687" s="19"/>
      <c r="C687" s="19"/>
      <c r="F687" s="19"/>
      <c r="G687" s="19"/>
    </row>
    <row r="688">
      <c r="B688" s="19"/>
      <c r="C688" s="19"/>
      <c r="F688" s="19"/>
      <c r="G688" s="19"/>
    </row>
    <row r="689">
      <c r="B689" s="19"/>
      <c r="C689" s="19"/>
      <c r="F689" s="19"/>
      <c r="G689" s="19"/>
    </row>
    <row r="690">
      <c r="B690" s="19"/>
      <c r="C690" s="19"/>
      <c r="F690" s="19"/>
      <c r="G690" s="19"/>
    </row>
    <row r="691">
      <c r="B691" s="19"/>
      <c r="C691" s="19"/>
      <c r="F691" s="19"/>
      <c r="G691" s="19"/>
    </row>
    <row r="692">
      <c r="B692" s="19"/>
      <c r="C692" s="19"/>
      <c r="F692" s="19"/>
      <c r="G692" s="19"/>
    </row>
    <row r="693">
      <c r="B693" s="19"/>
      <c r="C693" s="19"/>
      <c r="F693" s="19"/>
      <c r="G693" s="19"/>
    </row>
    <row r="694">
      <c r="B694" s="19"/>
      <c r="C694" s="19"/>
      <c r="F694" s="19"/>
      <c r="G694" s="19"/>
    </row>
    <row r="695">
      <c r="B695" s="19"/>
      <c r="C695" s="19"/>
      <c r="F695" s="19"/>
      <c r="G695" s="19"/>
    </row>
    <row r="696">
      <c r="B696" s="19"/>
      <c r="C696" s="19"/>
      <c r="F696" s="19"/>
      <c r="G696" s="19"/>
    </row>
    <row r="697">
      <c r="B697" s="19"/>
      <c r="C697" s="19"/>
      <c r="F697" s="19"/>
      <c r="G697" s="19"/>
    </row>
    <row r="698">
      <c r="B698" s="19"/>
      <c r="C698" s="19"/>
      <c r="F698" s="19"/>
      <c r="G698" s="19"/>
    </row>
    <row r="699">
      <c r="B699" s="19"/>
      <c r="C699" s="19"/>
      <c r="F699" s="19"/>
      <c r="G699" s="19"/>
    </row>
    <row r="700">
      <c r="B700" s="19"/>
      <c r="C700" s="19"/>
      <c r="F700" s="19"/>
      <c r="G700" s="19"/>
    </row>
    <row r="701">
      <c r="B701" s="19"/>
      <c r="C701" s="19"/>
      <c r="F701" s="19"/>
      <c r="G701" s="19"/>
    </row>
    <row r="702">
      <c r="B702" s="19"/>
      <c r="C702" s="19"/>
      <c r="F702" s="19"/>
      <c r="G702" s="19"/>
    </row>
    <row r="703">
      <c r="B703" s="19"/>
      <c r="C703" s="19"/>
      <c r="F703" s="19"/>
      <c r="G703" s="19"/>
    </row>
    <row r="704">
      <c r="B704" s="19"/>
      <c r="C704" s="19"/>
      <c r="F704" s="19"/>
      <c r="G704" s="19"/>
    </row>
    <row r="705">
      <c r="B705" s="19"/>
      <c r="C705" s="19"/>
      <c r="F705" s="19"/>
      <c r="G705" s="19"/>
    </row>
    <row r="706">
      <c r="B706" s="19"/>
      <c r="C706" s="19"/>
      <c r="F706" s="19"/>
      <c r="G706" s="19"/>
    </row>
    <row r="707">
      <c r="B707" s="19"/>
      <c r="C707" s="19"/>
      <c r="F707" s="19"/>
      <c r="G707" s="19"/>
    </row>
    <row r="708">
      <c r="B708" s="19"/>
      <c r="C708" s="19"/>
      <c r="F708" s="19"/>
      <c r="G708" s="19"/>
    </row>
    <row r="709">
      <c r="B709" s="19"/>
      <c r="C709" s="19"/>
      <c r="F709" s="19"/>
      <c r="G709" s="19"/>
    </row>
    <row r="710">
      <c r="B710" s="19"/>
      <c r="C710" s="19"/>
      <c r="F710" s="19"/>
      <c r="G710" s="19"/>
    </row>
    <row r="711">
      <c r="B711" s="19"/>
      <c r="C711" s="19"/>
      <c r="F711" s="19"/>
      <c r="G711" s="19"/>
    </row>
    <row r="712">
      <c r="B712" s="19"/>
      <c r="C712" s="19"/>
      <c r="F712" s="19"/>
      <c r="G712" s="19"/>
    </row>
    <row r="713">
      <c r="B713" s="19"/>
      <c r="C713" s="19"/>
      <c r="F713" s="19"/>
      <c r="G713" s="19"/>
    </row>
    <row r="714">
      <c r="B714" s="19"/>
      <c r="C714" s="19"/>
      <c r="F714" s="19"/>
      <c r="G714" s="19"/>
    </row>
    <row r="715">
      <c r="B715" s="19"/>
      <c r="C715" s="19"/>
      <c r="F715" s="19"/>
      <c r="G715" s="19"/>
    </row>
    <row r="716">
      <c r="B716" s="19"/>
      <c r="C716" s="19"/>
      <c r="F716" s="19"/>
      <c r="G716" s="19"/>
    </row>
    <row r="717">
      <c r="B717" s="19"/>
      <c r="C717" s="19"/>
      <c r="F717" s="19"/>
      <c r="G717" s="19"/>
    </row>
    <row r="718">
      <c r="B718" s="19"/>
      <c r="C718" s="19"/>
      <c r="F718" s="19"/>
      <c r="G718" s="19"/>
    </row>
    <row r="719">
      <c r="B719" s="19"/>
      <c r="C719" s="19"/>
      <c r="F719" s="19"/>
      <c r="G719" s="19"/>
    </row>
    <row r="720">
      <c r="B720" s="19"/>
      <c r="C720" s="19"/>
      <c r="F720" s="19"/>
      <c r="G720" s="19"/>
    </row>
    <row r="721">
      <c r="B721" s="19"/>
      <c r="C721" s="19"/>
      <c r="F721" s="19"/>
      <c r="G721" s="19"/>
    </row>
    <row r="722">
      <c r="B722" s="19"/>
      <c r="C722" s="19"/>
      <c r="F722" s="19"/>
      <c r="G722" s="19"/>
    </row>
    <row r="723">
      <c r="B723" s="19"/>
      <c r="C723" s="19"/>
      <c r="F723" s="19"/>
      <c r="G723" s="19"/>
    </row>
    <row r="724">
      <c r="B724" s="19"/>
      <c r="C724" s="19"/>
      <c r="F724" s="19"/>
      <c r="G724" s="19"/>
    </row>
    <row r="725">
      <c r="B725" s="19"/>
      <c r="C725" s="19"/>
      <c r="F725" s="19"/>
      <c r="G725" s="19"/>
    </row>
    <row r="726">
      <c r="B726" s="19"/>
      <c r="C726" s="19"/>
      <c r="F726" s="19"/>
      <c r="G726" s="19"/>
    </row>
    <row r="727">
      <c r="B727" s="19"/>
      <c r="C727" s="19"/>
      <c r="F727" s="19"/>
      <c r="G727" s="19"/>
    </row>
    <row r="728">
      <c r="B728" s="19"/>
      <c r="C728" s="19"/>
      <c r="F728" s="19"/>
      <c r="G728" s="19"/>
    </row>
    <row r="729">
      <c r="B729" s="19"/>
      <c r="C729" s="19"/>
      <c r="F729" s="19"/>
      <c r="G729" s="19"/>
    </row>
    <row r="730">
      <c r="B730" s="19"/>
      <c r="C730" s="19"/>
      <c r="F730" s="19"/>
      <c r="G730" s="19"/>
    </row>
    <row r="731">
      <c r="B731" s="19"/>
      <c r="C731" s="19"/>
      <c r="F731" s="19"/>
      <c r="G731" s="19"/>
    </row>
    <row r="732">
      <c r="B732" s="19"/>
      <c r="C732" s="19"/>
      <c r="F732" s="19"/>
      <c r="G732" s="19"/>
    </row>
    <row r="733">
      <c r="B733" s="19"/>
      <c r="C733" s="19"/>
      <c r="F733" s="19"/>
      <c r="G733" s="19"/>
    </row>
    <row r="734">
      <c r="B734" s="19"/>
      <c r="C734" s="19"/>
      <c r="F734" s="19"/>
      <c r="G734" s="19"/>
    </row>
    <row r="735">
      <c r="B735" s="19"/>
      <c r="C735" s="19"/>
      <c r="F735" s="19"/>
      <c r="G735" s="19"/>
    </row>
    <row r="736">
      <c r="B736" s="19"/>
      <c r="C736" s="19"/>
      <c r="F736" s="19"/>
      <c r="G736" s="19"/>
    </row>
    <row r="737">
      <c r="B737" s="19"/>
      <c r="C737" s="19"/>
      <c r="F737" s="19"/>
      <c r="G737" s="19"/>
    </row>
    <row r="738">
      <c r="B738" s="19"/>
      <c r="C738" s="19"/>
      <c r="F738" s="19"/>
      <c r="G738" s="19"/>
    </row>
    <row r="739">
      <c r="B739" s="19"/>
      <c r="C739" s="19"/>
      <c r="F739" s="19"/>
      <c r="G739" s="19"/>
    </row>
    <row r="740">
      <c r="B740" s="19"/>
      <c r="C740" s="19"/>
      <c r="F740" s="19"/>
      <c r="G740" s="19"/>
    </row>
    <row r="741">
      <c r="B741" s="19"/>
      <c r="C741" s="19"/>
      <c r="F741" s="19"/>
      <c r="G741" s="19"/>
    </row>
    <row r="742">
      <c r="B742" s="19"/>
      <c r="C742" s="19"/>
      <c r="F742" s="19"/>
      <c r="G742" s="19"/>
    </row>
    <row r="743">
      <c r="B743" s="19"/>
      <c r="C743" s="19"/>
      <c r="F743" s="19"/>
      <c r="G743" s="19"/>
    </row>
    <row r="744">
      <c r="B744" s="19"/>
      <c r="C744" s="19"/>
      <c r="F744" s="19"/>
      <c r="G744" s="19"/>
    </row>
    <row r="745">
      <c r="B745" s="19"/>
      <c r="C745" s="19"/>
      <c r="F745" s="19"/>
      <c r="G745" s="19"/>
    </row>
    <row r="746">
      <c r="B746" s="19"/>
      <c r="C746" s="19"/>
      <c r="F746" s="19"/>
      <c r="G746" s="19"/>
    </row>
    <row r="747">
      <c r="B747" s="19"/>
      <c r="C747" s="19"/>
      <c r="F747" s="19"/>
      <c r="G747" s="19"/>
    </row>
    <row r="748">
      <c r="B748" s="19"/>
      <c r="C748" s="19"/>
      <c r="F748" s="19"/>
      <c r="G748" s="19"/>
    </row>
    <row r="749">
      <c r="B749" s="19"/>
      <c r="C749" s="19"/>
      <c r="F749" s="19"/>
      <c r="G749" s="19"/>
    </row>
    <row r="750">
      <c r="B750" s="19"/>
      <c r="C750" s="19"/>
      <c r="F750" s="19"/>
      <c r="G750" s="19"/>
    </row>
    <row r="751">
      <c r="B751" s="19"/>
      <c r="C751" s="19"/>
      <c r="F751" s="19"/>
      <c r="G751" s="19"/>
    </row>
    <row r="752">
      <c r="B752" s="19"/>
      <c r="C752" s="19"/>
      <c r="F752" s="19"/>
      <c r="G752" s="19"/>
    </row>
    <row r="753">
      <c r="B753" s="19"/>
      <c r="C753" s="19"/>
      <c r="F753" s="19"/>
      <c r="G753" s="19"/>
    </row>
    <row r="754">
      <c r="B754" s="19"/>
      <c r="C754" s="19"/>
      <c r="F754" s="19"/>
      <c r="G754" s="19"/>
    </row>
    <row r="755">
      <c r="B755" s="19"/>
      <c r="C755" s="19"/>
      <c r="F755" s="19"/>
      <c r="G755" s="19"/>
    </row>
    <row r="756">
      <c r="B756" s="19"/>
      <c r="C756" s="19"/>
      <c r="F756" s="19"/>
      <c r="G756" s="19"/>
    </row>
    <row r="757">
      <c r="B757" s="19"/>
      <c r="C757" s="19"/>
      <c r="F757" s="19"/>
      <c r="G757" s="19"/>
    </row>
    <row r="758">
      <c r="B758" s="19"/>
      <c r="C758" s="19"/>
      <c r="F758" s="19"/>
      <c r="G758" s="19"/>
    </row>
    <row r="759">
      <c r="B759" s="19"/>
      <c r="C759" s="19"/>
      <c r="F759" s="19"/>
      <c r="G759" s="19"/>
    </row>
    <row r="760">
      <c r="B760" s="19"/>
      <c r="C760" s="19"/>
      <c r="F760" s="19"/>
      <c r="G760" s="19"/>
    </row>
    <row r="761">
      <c r="B761" s="19"/>
      <c r="C761" s="19"/>
      <c r="F761" s="19"/>
      <c r="G761" s="19"/>
    </row>
    <row r="762">
      <c r="B762" s="19"/>
      <c r="C762" s="19"/>
      <c r="F762" s="19"/>
      <c r="G762" s="19"/>
    </row>
    <row r="763">
      <c r="B763" s="19"/>
      <c r="C763" s="19"/>
      <c r="F763" s="19"/>
      <c r="G763" s="19"/>
    </row>
    <row r="764">
      <c r="B764" s="19"/>
      <c r="C764" s="19"/>
      <c r="F764" s="19"/>
      <c r="G764" s="19"/>
    </row>
    <row r="765">
      <c r="B765" s="19"/>
      <c r="C765" s="19"/>
      <c r="F765" s="19"/>
      <c r="G765" s="19"/>
    </row>
    <row r="766">
      <c r="B766" s="19"/>
      <c r="C766" s="19"/>
      <c r="F766" s="19"/>
      <c r="G766" s="19"/>
    </row>
    <row r="767">
      <c r="B767" s="19"/>
      <c r="C767" s="19"/>
      <c r="F767" s="19"/>
      <c r="G767" s="19"/>
    </row>
    <row r="768">
      <c r="B768" s="19"/>
      <c r="C768" s="19"/>
      <c r="F768" s="19"/>
      <c r="G768" s="19"/>
    </row>
    <row r="769">
      <c r="B769" s="19"/>
      <c r="C769" s="19"/>
      <c r="F769" s="19"/>
      <c r="G769" s="19"/>
    </row>
    <row r="770">
      <c r="B770" s="19"/>
      <c r="C770" s="19"/>
      <c r="F770" s="19"/>
      <c r="G770" s="19"/>
    </row>
    <row r="771">
      <c r="B771" s="19"/>
      <c r="C771" s="19"/>
      <c r="F771" s="19"/>
      <c r="G771" s="19"/>
    </row>
    <row r="772">
      <c r="B772" s="19"/>
      <c r="C772" s="19"/>
      <c r="F772" s="19"/>
      <c r="G772" s="19"/>
    </row>
    <row r="773">
      <c r="B773" s="19"/>
      <c r="C773" s="19"/>
      <c r="F773" s="19"/>
      <c r="G773" s="19"/>
    </row>
    <row r="774">
      <c r="B774" s="19"/>
      <c r="C774" s="19"/>
      <c r="F774" s="19"/>
      <c r="G774" s="19"/>
    </row>
    <row r="775">
      <c r="B775" s="19"/>
      <c r="C775" s="19"/>
      <c r="F775" s="19"/>
      <c r="G775" s="19"/>
    </row>
    <row r="776">
      <c r="B776" s="19"/>
      <c r="C776" s="19"/>
      <c r="F776" s="19"/>
      <c r="G776" s="19"/>
    </row>
    <row r="777">
      <c r="B777" s="19"/>
      <c r="C777" s="19"/>
      <c r="F777" s="19"/>
      <c r="G777" s="19"/>
    </row>
    <row r="778">
      <c r="B778" s="19"/>
      <c r="C778" s="19"/>
      <c r="F778" s="19"/>
      <c r="G778" s="19"/>
    </row>
    <row r="779">
      <c r="B779" s="19"/>
      <c r="C779" s="19"/>
      <c r="F779" s="19"/>
      <c r="G779" s="19"/>
    </row>
    <row r="780">
      <c r="B780" s="19"/>
      <c r="C780" s="19"/>
      <c r="F780" s="19"/>
      <c r="G780" s="19"/>
    </row>
    <row r="781">
      <c r="B781" s="19"/>
      <c r="C781" s="19"/>
      <c r="F781" s="19"/>
      <c r="G781" s="19"/>
    </row>
    <row r="782">
      <c r="B782" s="19"/>
      <c r="C782" s="19"/>
      <c r="F782" s="19"/>
      <c r="G782" s="19"/>
    </row>
    <row r="783">
      <c r="B783" s="19"/>
      <c r="C783" s="19"/>
      <c r="F783" s="19"/>
      <c r="G783" s="19"/>
    </row>
    <row r="784">
      <c r="B784" s="19"/>
      <c r="C784" s="19"/>
      <c r="F784" s="19"/>
      <c r="G784" s="19"/>
    </row>
    <row r="785">
      <c r="B785" s="19"/>
      <c r="C785" s="19"/>
      <c r="F785" s="19"/>
      <c r="G785" s="19"/>
    </row>
    <row r="786">
      <c r="B786" s="19"/>
      <c r="C786" s="19"/>
      <c r="F786" s="19"/>
      <c r="G786" s="19"/>
    </row>
    <row r="787">
      <c r="B787" s="19"/>
      <c r="C787" s="19"/>
      <c r="F787" s="19"/>
      <c r="G787" s="19"/>
    </row>
    <row r="788">
      <c r="B788" s="19"/>
      <c r="C788" s="19"/>
      <c r="F788" s="19"/>
      <c r="G788" s="19"/>
    </row>
    <row r="789">
      <c r="B789" s="19"/>
      <c r="C789" s="19"/>
      <c r="F789" s="19"/>
      <c r="G789" s="19"/>
    </row>
    <row r="790">
      <c r="B790" s="19"/>
      <c r="C790" s="19"/>
      <c r="F790" s="19"/>
      <c r="G790" s="19"/>
    </row>
    <row r="791">
      <c r="B791" s="19"/>
      <c r="C791" s="19"/>
      <c r="F791" s="19"/>
      <c r="G791" s="19"/>
    </row>
    <row r="792">
      <c r="B792" s="19"/>
      <c r="C792" s="19"/>
      <c r="F792" s="19"/>
      <c r="G792" s="19"/>
    </row>
    <row r="793">
      <c r="B793" s="19"/>
      <c r="C793" s="19"/>
      <c r="F793" s="19"/>
      <c r="G793" s="19"/>
    </row>
    <row r="794">
      <c r="B794" s="19"/>
      <c r="C794" s="19"/>
      <c r="F794" s="19"/>
      <c r="G794" s="19"/>
    </row>
    <row r="795">
      <c r="B795" s="19"/>
      <c r="C795" s="19"/>
      <c r="F795" s="19"/>
      <c r="G795" s="19"/>
    </row>
    <row r="796">
      <c r="B796" s="19"/>
      <c r="C796" s="19"/>
      <c r="F796" s="19"/>
      <c r="G796" s="19"/>
    </row>
    <row r="797">
      <c r="B797" s="19"/>
      <c r="C797" s="19"/>
      <c r="F797" s="19"/>
      <c r="G797" s="19"/>
    </row>
    <row r="798">
      <c r="B798" s="19"/>
      <c r="C798" s="19"/>
      <c r="F798" s="19"/>
      <c r="G798" s="19"/>
    </row>
    <row r="799">
      <c r="B799" s="19"/>
      <c r="C799" s="19"/>
      <c r="F799" s="19"/>
      <c r="G799" s="19"/>
    </row>
    <row r="800">
      <c r="B800" s="19"/>
      <c r="C800" s="19"/>
      <c r="F800" s="19"/>
      <c r="G800" s="19"/>
    </row>
    <row r="801">
      <c r="B801" s="19"/>
      <c r="C801" s="19"/>
      <c r="F801" s="19"/>
      <c r="G801" s="19"/>
    </row>
    <row r="802">
      <c r="B802" s="19"/>
      <c r="C802" s="19"/>
      <c r="F802" s="19"/>
      <c r="G802" s="19"/>
    </row>
    <row r="803">
      <c r="B803" s="19"/>
      <c r="C803" s="19"/>
      <c r="F803" s="19"/>
      <c r="G803" s="19"/>
    </row>
    <row r="804">
      <c r="B804" s="19"/>
      <c r="C804" s="19"/>
      <c r="F804" s="19"/>
      <c r="G804" s="19"/>
    </row>
    <row r="805">
      <c r="B805" s="19"/>
      <c r="C805" s="19"/>
      <c r="F805" s="19"/>
      <c r="G805" s="19"/>
    </row>
    <row r="806">
      <c r="B806" s="19"/>
      <c r="C806" s="19"/>
      <c r="F806" s="19"/>
      <c r="G806" s="19"/>
    </row>
    <row r="807">
      <c r="B807" s="19"/>
      <c r="C807" s="19"/>
      <c r="F807" s="19"/>
      <c r="G807" s="19"/>
    </row>
    <row r="808">
      <c r="B808" s="19"/>
      <c r="C808" s="19"/>
      <c r="F808" s="19"/>
      <c r="G808" s="19"/>
    </row>
    <row r="809">
      <c r="B809" s="19"/>
      <c r="C809" s="19"/>
      <c r="F809" s="19"/>
      <c r="G809" s="19"/>
    </row>
    <row r="810">
      <c r="B810" s="19"/>
      <c r="C810" s="19"/>
      <c r="F810" s="19"/>
      <c r="G810" s="19"/>
    </row>
    <row r="811">
      <c r="B811" s="19"/>
      <c r="C811" s="19"/>
      <c r="F811" s="19"/>
      <c r="G811" s="19"/>
    </row>
    <row r="812">
      <c r="B812" s="19"/>
      <c r="C812" s="19"/>
      <c r="F812" s="19"/>
      <c r="G812" s="19"/>
    </row>
    <row r="813">
      <c r="B813" s="19"/>
      <c r="C813" s="19"/>
      <c r="F813" s="19"/>
      <c r="G813" s="19"/>
    </row>
    <row r="814">
      <c r="B814" s="19"/>
      <c r="C814" s="19"/>
      <c r="F814" s="19"/>
      <c r="G814" s="19"/>
    </row>
    <row r="815">
      <c r="B815" s="19"/>
      <c r="C815" s="19"/>
      <c r="F815" s="19"/>
      <c r="G815" s="19"/>
    </row>
    <row r="816">
      <c r="B816" s="19"/>
      <c r="C816" s="19"/>
      <c r="F816" s="19"/>
      <c r="G816" s="19"/>
    </row>
    <row r="817">
      <c r="B817" s="19"/>
      <c r="C817" s="19"/>
      <c r="F817" s="19"/>
      <c r="G817" s="19"/>
    </row>
    <row r="818">
      <c r="B818" s="19"/>
      <c r="C818" s="19"/>
      <c r="F818" s="19"/>
      <c r="G818" s="19"/>
    </row>
    <row r="819">
      <c r="B819" s="19"/>
      <c r="C819" s="19"/>
      <c r="F819" s="19"/>
      <c r="G819" s="19"/>
    </row>
    <row r="820">
      <c r="B820" s="19"/>
      <c r="C820" s="19"/>
      <c r="F820" s="19"/>
      <c r="G820" s="19"/>
    </row>
    <row r="821">
      <c r="B821" s="19"/>
      <c r="C821" s="19"/>
      <c r="F821" s="19"/>
      <c r="G821" s="19"/>
    </row>
    <row r="822">
      <c r="B822" s="19"/>
      <c r="C822" s="19"/>
      <c r="F822" s="19"/>
      <c r="G822" s="19"/>
    </row>
    <row r="823">
      <c r="B823" s="19"/>
      <c r="C823" s="19"/>
      <c r="F823" s="19"/>
      <c r="G823" s="19"/>
    </row>
    <row r="824">
      <c r="B824" s="19"/>
      <c r="C824" s="19"/>
      <c r="F824" s="19"/>
      <c r="G824" s="19"/>
    </row>
    <row r="825">
      <c r="B825" s="19"/>
      <c r="C825" s="19"/>
      <c r="F825" s="19"/>
      <c r="G825" s="19"/>
    </row>
    <row r="826">
      <c r="B826" s="19"/>
      <c r="C826" s="19"/>
      <c r="F826" s="19"/>
      <c r="G826" s="19"/>
    </row>
    <row r="827">
      <c r="B827" s="19"/>
      <c r="C827" s="19"/>
      <c r="F827" s="19"/>
      <c r="G827" s="19"/>
    </row>
    <row r="828">
      <c r="B828" s="19"/>
      <c r="C828" s="19"/>
      <c r="F828" s="19"/>
      <c r="G828" s="19"/>
    </row>
    <row r="829">
      <c r="B829" s="19"/>
      <c r="C829" s="19"/>
      <c r="F829" s="19"/>
      <c r="G829" s="19"/>
    </row>
    <row r="830">
      <c r="B830" s="19"/>
      <c r="C830" s="19"/>
      <c r="F830" s="19"/>
      <c r="G830" s="19"/>
    </row>
    <row r="831">
      <c r="B831" s="19"/>
      <c r="C831" s="19"/>
      <c r="F831" s="19"/>
      <c r="G831" s="19"/>
    </row>
    <row r="832">
      <c r="B832" s="19"/>
      <c r="C832" s="19"/>
      <c r="F832" s="19"/>
      <c r="G832" s="19"/>
    </row>
    <row r="833">
      <c r="B833" s="19"/>
      <c r="C833" s="19"/>
      <c r="F833" s="19"/>
      <c r="G833" s="19"/>
    </row>
    <row r="834">
      <c r="B834" s="19"/>
      <c r="C834" s="19"/>
      <c r="F834" s="19"/>
      <c r="G834" s="19"/>
    </row>
    <row r="835">
      <c r="B835" s="19"/>
      <c r="C835" s="19"/>
      <c r="F835" s="19"/>
      <c r="G835" s="19"/>
    </row>
    <row r="836">
      <c r="B836" s="19"/>
      <c r="C836" s="19"/>
      <c r="F836" s="19"/>
      <c r="G836" s="19"/>
    </row>
    <row r="837">
      <c r="B837" s="19"/>
      <c r="C837" s="19"/>
      <c r="F837" s="19"/>
      <c r="G837" s="19"/>
    </row>
    <row r="838">
      <c r="B838" s="19"/>
      <c r="C838" s="19"/>
      <c r="F838" s="19"/>
      <c r="G838" s="19"/>
    </row>
    <row r="839">
      <c r="B839" s="19"/>
      <c r="C839" s="19"/>
      <c r="F839" s="19"/>
      <c r="G839" s="19"/>
    </row>
    <row r="840">
      <c r="B840" s="19"/>
      <c r="C840" s="19"/>
      <c r="F840" s="19"/>
      <c r="G840" s="19"/>
    </row>
    <row r="841">
      <c r="B841" s="19"/>
      <c r="C841" s="19"/>
      <c r="F841" s="19"/>
      <c r="G841" s="19"/>
    </row>
    <row r="842">
      <c r="B842" s="19"/>
      <c r="C842" s="19"/>
      <c r="F842" s="19"/>
      <c r="G842" s="19"/>
    </row>
    <row r="843">
      <c r="B843" s="19"/>
      <c r="C843" s="19"/>
      <c r="F843" s="19"/>
      <c r="G843" s="19"/>
    </row>
    <row r="844">
      <c r="B844" s="19"/>
      <c r="C844" s="19"/>
      <c r="F844" s="19"/>
      <c r="G844" s="19"/>
    </row>
    <row r="845">
      <c r="B845" s="19"/>
      <c r="C845" s="19"/>
      <c r="F845" s="19"/>
      <c r="G845" s="19"/>
    </row>
    <row r="846">
      <c r="B846" s="19"/>
      <c r="C846" s="19"/>
      <c r="F846" s="19"/>
      <c r="G846" s="19"/>
    </row>
    <row r="847">
      <c r="B847" s="19"/>
      <c r="C847" s="19"/>
      <c r="F847" s="19"/>
      <c r="G847" s="19"/>
    </row>
    <row r="848">
      <c r="B848" s="19"/>
      <c r="C848" s="19"/>
      <c r="F848" s="19"/>
      <c r="G848" s="19"/>
    </row>
    <row r="849">
      <c r="B849" s="19"/>
      <c r="C849" s="19"/>
      <c r="F849" s="19"/>
      <c r="G849" s="19"/>
    </row>
    <row r="850">
      <c r="B850" s="19"/>
      <c r="C850" s="19"/>
      <c r="F850" s="19"/>
      <c r="G850" s="19"/>
    </row>
    <row r="851">
      <c r="B851" s="19"/>
      <c r="C851" s="19"/>
      <c r="F851" s="19"/>
      <c r="G851" s="19"/>
    </row>
    <row r="852">
      <c r="B852" s="19"/>
      <c r="C852" s="19"/>
      <c r="F852" s="19"/>
      <c r="G852" s="19"/>
    </row>
    <row r="853">
      <c r="B853" s="19"/>
      <c r="C853" s="19"/>
      <c r="F853" s="19"/>
      <c r="G853" s="19"/>
    </row>
    <row r="854">
      <c r="B854" s="19"/>
      <c r="C854" s="19"/>
      <c r="F854" s="19"/>
      <c r="G854" s="19"/>
    </row>
    <row r="855">
      <c r="B855" s="19"/>
      <c r="C855" s="19"/>
      <c r="F855" s="19"/>
      <c r="G855" s="19"/>
    </row>
    <row r="856">
      <c r="B856" s="19"/>
      <c r="C856" s="19"/>
      <c r="F856" s="19"/>
      <c r="G856" s="19"/>
    </row>
    <row r="857">
      <c r="B857" s="19"/>
      <c r="C857" s="19"/>
      <c r="F857" s="19"/>
      <c r="G857" s="19"/>
    </row>
    <row r="858">
      <c r="B858" s="19"/>
      <c r="C858" s="19"/>
      <c r="F858" s="19"/>
      <c r="G858" s="19"/>
    </row>
    <row r="859">
      <c r="B859" s="19"/>
      <c r="C859" s="19"/>
      <c r="F859" s="19"/>
      <c r="G859" s="19"/>
    </row>
    <row r="860">
      <c r="B860" s="19"/>
      <c r="C860" s="19"/>
      <c r="F860" s="19"/>
      <c r="G860" s="19"/>
    </row>
    <row r="861">
      <c r="B861" s="19"/>
      <c r="C861" s="19"/>
      <c r="F861" s="19"/>
      <c r="G861" s="19"/>
    </row>
    <row r="862">
      <c r="B862" s="19"/>
      <c r="C862" s="19"/>
      <c r="F862" s="19"/>
      <c r="G862" s="19"/>
    </row>
    <row r="863">
      <c r="B863" s="19"/>
      <c r="C863" s="19"/>
      <c r="F863" s="19"/>
      <c r="G863" s="19"/>
    </row>
    <row r="864">
      <c r="B864" s="19"/>
      <c r="C864" s="19"/>
      <c r="F864" s="19"/>
      <c r="G864" s="19"/>
    </row>
    <row r="865">
      <c r="B865" s="19"/>
      <c r="C865" s="19"/>
      <c r="F865" s="19"/>
      <c r="G865" s="19"/>
    </row>
    <row r="866">
      <c r="B866" s="19"/>
      <c r="C866" s="19"/>
      <c r="F866" s="19"/>
      <c r="G866" s="19"/>
    </row>
    <row r="867">
      <c r="B867" s="19"/>
      <c r="C867" s="19"/>
      <c r="F867" s="19"/>
      <c r="G867" s="19"/>
    </row>
    <row r="868">
      <c r="B868" s="19"/>
      <c r="C868" s="19"/>
      <c r="F868" s="19"/>
      <c r="G868" s="19"/>
    </row>
    <row r="869">
      <c r="B869" s="19"/>
      <c r="C869" s="19"/>
      <c r="F869" s="19"/>
      <c r="G869" s="19"/>
    </row>
    <row r="870">
      <c r="B870" s="19"/>
      <c r="C870" s="19"/>
      <c r="F870" s="19"/>
      <c r="G870" s="19"/>
    </row>
    <row r="871">
      <c r="B871" s="19"/>
      <c r="C871" s="19"/>
      <c r="F871" s="19"/>
      <c r="G871" s="19"/>
    </row>
    <row r="872">
      <c r="B872" s="19"/>
      <c r="C872" s="19"/>
      <c r="F872" s="19"/>
      <c r="G872" s="19"/>
    </row>
    <row r="873">
      <c r="B873" s="19"/>
      <c r="C873" s="19"/>
      <c r="F873" s="19"/>
      <c r="G873" s="19"/>
    </row>
    <row r="874">
      <c r="B874" s="19"/>
      <c r="C874" s="19"/>
      <c r="F874" s="19"/>
      <c r="G874" s="19"/>
    </row>
    <row r="875">
      <c r="B875" s="19"/>
      <c r="C875" s="19"/>
      <c r="F875" s="19"/>
      <c r="G875" s="19"/>
    </row>
    <row r="876">
      <c r="B876" s="19"/>
      <c r="C876" s="19"/>
      <c r="F876" s="19"/>
      <c r="G876" s="19"/>
    </row>
    <row r="877">
      <c r="B877" s="19"/>
      <c r="C877" s="19"/>
      <c r="F877" s="19"/>
      <c r="G877" s="19"/>
    </row>
    <row r="878">
      <c r="B878" s="19"/>
      <c r="C878" s="19"/>
      <c r="F878" s="19"/>
      <c r="G878" s="19"/>
    </row>
    <row r="879">
      <c r="B879" s="19"/>
      <c r="C879" s="19"/>
      <c r="F879" s="19"/>
      <c r="G879" s="19"/>
    </row>
    <row r="880">
      <c r="B880" s="19"/>
      <c r="C880" s="19"/>
      <c r="F880" s="19"/>
      <c r="G880" s="19"/>
    </row>
    <row r="881">
      <c r="B881" s="19"/>
      <c r="C881" s="19"/>
      <c r="F881" s="19"/>
      <c r="G881" s="19"/>
    </row>
    <row r="882">
      <c r="B882" s="19"/>
      <c r="C882" s="19"/>
      <c r="F882" s="19"/>
      <c r="G882" s="19"/>
    </row>
    <row r="883">
      <c r="B883" s="19"/>
      <c r="C883" s="19"/>
      <c r="F883" s="19"/>
      <c r="G883" s="19"/>
    </row>
    <row r="884">
      <c r="B884" s="19"/>
      <c r="C884" s="19"/>
      <c r="F884" s="19"/>
      <c r="G884" s="19"/>
    </row>
    <row r="885">
      <c r="B885" s="19"/>
      <c r="C885" s="19"/>
      <c r="F885" s="19"/>
      <c r="G885" s="19"/>
    </row>
    <row r="886">
      <c r="B886" s="19"/>
      <c r="C886" s="19"/>
      <c r="F886" s="19"/>
      <c r="G886" s="19"/>
    </row>
    <row r="887">
      <c r="B887" s="19"/>
      <c r="C887" s="19"/>
      <c r="F887" s="19"/>
      <c r="G887" s="19"/>
    </row>
    <row r="888">
      <c r="B888" s="19"/>
      <c r="C888" s="19"/>
      <c r="F888" s="19"/>
      <c r="G888" s="19"/>
    </row>
    <row r="889">
      <c r="B889" s="19"/>
      <c r="C889" s="19"/>
      <c r="F889" s="19"/>
      <c r="G889" s="19"/>
    </row>
    <row r="890">
      <c r="B890" s="19"/>
      <c r="C890" s="19"/>
      <c r="F890" s="19"/>
      <c r="G890" s="19"/>
    </row>
    <row r="891">
      <c r="B891" s="19"/>
      <c r="C891" s="19"/>
      <c r="F891" s="19"/>
      <c r="G891" s="19"/>
    </row>
    <row r="892">
      <c r="B892" s="19"/>
      <c r="C892" s="19"/>
      <c r="F892" s="19"/>
      <c r="G892" s="19"/>
    </row>
    <row r="893">
      <c r="B893" s="19"/>
      <c r="C893" s="19"/>
      <c r="F893" s="19"/>
      <c r="G893" s="19"/>
    </row>
    <row r="894">
      <c r="B894" s="19"/>
      <c r="C894" s="19"/>
      <c r="F894" s="19"/>
      <c r="G894" s="19"/>
    </row>
    <row r="895">
      <c r="B895" s="19"/>
      <c r="C895" s="19"/>
      <c r="F895" s="19"/>
      <c r="G895" s="19"/>
    </row>
    <row r="896">
      <c r="B896" s="19"/>
      <c r="C896" s="19"/>
      <c r="F896" s="19"/>
      <c r="G896" s="19"/>
    </row>
    <row r="897">
      <c r="B897" s="19"/>
      <c r="C897" s="19"/>
      <c r="F897" s="19"/>
      <c r="G897" s="19"/>
    </row>
    <row r="898">
      <c r="B898" s="19"/>
      <c r="C898" s="19"/>
      <c r="F898" s="19"/>
      <c r="G898" s="19"/>
    </row>
    <row r="899">
      <c r="B899" s="19"/>
      <c r="C899" s="19"/>
      <c r="F899" s="19"/>
      <c r="G899" s="19"/>
    </row>
    <row r="900">
      <c r="B900" s="19"/>
      <c r="C900" s="19"/>
      <c r="F900" s="19"/>
      <c r="G900" s="19"/>
    </row>
    <row r="901">
      <c r="B901" s="19"/>
      <c r="C901" s="19"/>
      <c r="F901" s="19"/>
      <c r="G901" s="19"/>
    </row>
    <row r="902">
      <c r="B902" s="19"/>
      <c r="C902" s="19"/>
      <c r="F902" s="19"/>
      <c r="G902" s="19"/>
    </row>
    <row r="903">
      <c r="B903" s="19"/>
      <c r="C903" s="19"/>
      <c r="F903" s="19"/>
      <c r="G903" s="19"/>
    </row>
    <row r="904">
      <c r="B904" s="19"/>
      <c r="C904" s="19"/>
      <c r="F904" s="19"/>
      <c r="G904" s="19"/>
    </row>
    <row r="905">
      <c r="B905" s="19"/>
      <c r="C905" s="19"/>
      <c r="F905" s="19"/>
      <c r="G905" s="19"/>
    </row>
    <row r="906">
      <c r="B906" s="19"/>
      <c r="C906" s="19"/>
      <c r="F906" s="19"/>
      <c r="G906" s="19"/>
    </row>
    <row r="907">
      <c r="B907" s="19"/>
      <c r="C907" s="19"/>
      <c r="F907" s="19"/>
      <c r="G907" s="19"/>
    </row>
    <row r="908">
      <c r="B908" s="19"/>
      <c r="C908" s="19"/>
      <c r="F908" s="19"/>
      <c r="G908" s="19"/>
    </row>
    <row r="909">
      <c r="B909" s="19"/>
      <c r="C909" s="19"/>
      <c r="F909" s="19"/>
      <c r="G909" s="19"/>
    </row>
    <row r="910">
      <c r="B910" s="19"/>
      <c r="C910" s="19"/>
      <c r="F910" s="19"/>
      <c r="G910" s="19"/>
    </row>
    <row r="911">
      <c r="B911" s="19"/>
      <c r="C911" s="19"/>
      <c r="F911" s="19"/>
      <c r="G911" s="19"/>
    </row>
    <row r="912">
      <c r="B912" s="19"/>
      <c r="C912" s="19"/>
      <c r="F912" s="19"/>
      <c r="G912" s="19"/>
    </row>
    <row r="913">
      <c r="B913" s="19"/>
      <c r="C913" s="19"/>
      <c r="F913" s="19"/>
      <c r="G913" s="19"/>
    </row>
    <row r="914">
      <c r="B914" s="19"/>
      <c r="C914" s="19"/>
      <c r="F914" s="19"/>
      <c r="G914" s="19"/>
    </row>
    <row r="915">
      <c r="B915" s="19"/>
      <c r="C915" s="19"/>
      <c r="F915" s="19"/>
      <c r="G915" s="19"/>
    </row>
    <row r="916">
      <c r="B916" s="19"/>
      <c r="C916" s="19"/>
      <c r="F916" s="19"/>
      <c r="G916" s="19"/>
    </row>
    <row r="917">
      <c r="B917" s="19"/>
      <c r="C917" s="19"/>
      <c r="F917" s="19"/>
      <c r="G917" s="19"/>
    </row>
    <row r="918">
      <c r="B918" s="19"/>
      <c r="C918" s="19"/>
      <c r="F918" s="19"/>
      <c r="G918" s="19"/>
    </row>
    <row r="919">
      <c r="B919" s="19"/>
      <c r="C919" s="19"/>
      <c r="F919" s="19"/>
      <c r="G919" s="19"/>
    </row>
    <row r="920">
      <c r="B920" s="19"/>
      <c r="C920" s="19"/>
      <c r="F920" s="19"/>
      <c r="G920" s="19"/>
    </row>
    <row r="921">
      <c r="B921" s="19"/>
      <c r="C921" s="19"/>
      <c r="F921" s="19"/>
      <c r="G921" s="19"/>
    </row>
    <row r="922">
      <c r="B922" s="19"/>
      <c r="C922" s="19"/>
      <c r="F922" s="19"/>
      <c r="G922" s="19"/>
    </row>
    <row r="923">
      <c r="B923" s="19"/>
      <c r="C923" s="19"/>
      <c r="F923" s="19"/>
      <c r="G923" s="19"/>
    </row>
    <row r="924">
      <c r="B924" s="19"/>
      <c r="C924" s="19"/>
      <c r="F924" s="19"/>
      <c r="G924" s="19"/>
    </row>
    <row r="925">
      <c r="B925" s="19"/>
      <c r="C925" s="19"/>
      <c r="F925" s="19"/>
      <c r="G925" s="19"/>
    </row>
    <row r="926">
      <c r="B926" s="19"/>
      <c r="C926" s="19"/>
      <c r="F926" s="19"/>
      <c r="G926" s="19"/>
    </row>
    <row r="927">
      <c r="B927" s="19"/>
      <c r="C927" s="19"/>
      <c r="F927" s="19"/>
      <c r="G927" s="19"/>
    </row>
    <row r="928">
      <c r="B928" s="19"/>
      <c r="C928" s="19"/>
      <c r="F928" s="19"/>
      <c r="G928" s="19"/>
    </row>
    <row r="929">
      <c r="B929" s="19"/>
      <c r="C929" s="19"/>
      <c r="F929" s="19"/>
      <c r="G929" s="19"/>
    </row>
    <row r="930">
      <c r="B930" s="19"/>
      <c r="C930" s="19"/>
      <c r="F930" s="19"/>
      <c r="G930" s="19"/>
    </row>
    <row r="931">
      <c r="B931" s="19"/>
      <c r="C931" s="19"/>
      <c r="F931" s="19"/>
      <c r="G931" s="19"/>
    </row>
    <row r="932">
      <c r="B932" s="19"/>
      <c r="C932" s="19"/>
      <c r="F932" s="19"/>
      <c r="G932" s="19"/>
    </row>
    <row r="933">
      <c r="B933" s="19"/>
      <c r="C933" s="19"/>
      <c r="F933" s="19"/>
      <c r="G933" s="19"/>
    </row>
    <row r="934">
      <c r="B934" s="19"/>
      <c r="C934" s="19"/>
      <c r="F934" s="19"/>
      <c r="G934" s="19"/>
    </row>
    <row r="935">
      <c r="B935" s="19"/>
      <c r="C935" s="19"/>
      <c r="F935" s="19"/>
      <c r="G935" s="19"/>
    </row>
    <row r="936">
      <c r="B936" s="19"/>
      <c r="C936" s="19"/>
      <c r="F936" s="19"/>
      <c r="G936" s="19"/>
    </row>
    <row r="937">
      <c r="B937" s="19"/>
      <c r="C937" s="19"/>
      <c r="F937" s="19"/>
      <c r="G937" s="19"/>
    </row>
    <row r="938">
      <c r="B938" s="19"/>
      <c r="C938" s="19"/>
      <c r="F938" s="19"/>
      <c r="G938" s="19"/>
    </row>
    <row r="939">
      <c r="B939" s="19"/>
      <c r="C939" s="19"/>
      <c r="F939" s="19"/>
      <c r="G939" s="19"/>
    </row>
    <row r="940">
      <c r="B940" s="19"/>
      <c r="C940" s="19"/>
      <c r="F940" s="19"/>
      <c r="G940" s="19"/>
    </row>
    <row r="941">
      <c r="B941" s="19"/>
      <c r="C941" s="19"/>
      <c r="F941" s="19"/>
      <c r="G941" s="19"/>
    </row>
    <row r="942">
      <c r="B942" s="19"/>
      <c r="C942" s="19"/>
      <c r="F942" s="19"/>
      <c r="G942" s="19"/>
    </row>
    <row r="943">
      <c r="B943" s="19"/>
      <c r="C943" s="19"/>
      <c r="F943" s="19"/>
      <c r="G943" s="19"/>
    </row>
    <row r="944">
      <c r="B944" s="19"/>
      <c r="C944" s="19"/>
      <c r="F944" s="19"/>
      <c r="G944" s="19"/>
    </row>
    <row r="945">
      <c r="B945" s="19"/>
      <c r="C945" s="19"/>
      <c r="F945" s="19"/>
      <c r="G945" s="19"/>
    </row>
    <row r="946">
      <c r="B946" s="19"/>
      <c r="C946" s="19"/>
      <c r="F946" s="19"/>
      <c r="G946" s="19"/>
    </row>
    <row r="947">
      <c r="B947" s="19"/>
      <c r="C947" s="19"/>
      <c r="F947" s="19"/>
      <c r="G947" s="19"/>
    </row>
    <row r="948">
      <c r="B948" s="19"/>
      <c r="C948" s="19"/>
      <c r="F948" s="19"/>
      <c r="G948" s="19"/>
    </row>
    <row r="949">
      <c r="B949" s="19"/>
      <c r="C949" s="19"/>
      <c r="F949" s="19"/>
      <c r="G949" s="19"/>
    </row>
    <row r="950">
      <c r="B950" s="19"/>
      <c r="C950" s="19"/>
      <c r="F950" s="19"/>
      <c r="G950" s="19"/>
    </row>
    <row r="951">
      <c r="B951" s="19"/>
      <c r="C951" s="19"/>
      <c r="F951" s="19"/>
      <c r="G951" s="19"/>
    </row>
    <row r="952">
      <c r="B952" s="19"/>
      <c r="C952" s="19"/>
      <c r="F952" s="19"/>
      <c r="G952" s="19"/>
    </row>
    <row r="953">
      <c r="B953" s="19"/>
      <c r="C953" s="19"/>
      <c r="F953" s="19"/>
      <c r="G953" s="19"/>
    </row>
    <row r="954">
      <c r="B954" s="19"/>
      <c r="C954" s="19"/>
      <c r="F954" s="19"/>
      <c r="G954" s="19"/>
    </row>
    <row r="955">
      <c r="B955" s="19"/>
      <c r="C955" s="19"/>
      <c r="F955" s="19"/>
      <c r="G955" s="19"/>
    </row>
    <row r="956">
      <c r="B956" s="19"/>
      <c r="C956" s="19"/>
      <c r="F956" s="19"/>
      <c r="G956" s="19"/>
    </row>
    <row r="957">
      <c r="B957" s="19"/>
      <c r="C957" s="19"/>
      <c r="F957" s="19"/>
      <c r="G957" s="19"/>
    </row>
    <row r="958">
      <c r="B958" s="19"/>
      <c r="C958" s="19"/>
      <c r="F958" s="19"/>
      <c r="G958" s="19"/>
    </row>
    <row r="959">
      <c r="B959" s="19"/>
      <c r="C959" s="19"/>
      <c r="F959" s="19"/>
      <c r="G959" s="19"/>
    </row>
    <row r="960">
      <c r="B960" s="19"/>
      <c r="C960" s="19"/>
      <c r="F960" s="19"/>
      <c r="G960" s="19"/>
    </row>
    <row r="961">
      <c r="B961" s="19"/>
      <c r="C961" s="19"/>
      <c r="F961" s="19"/>
      <c r="G961" s="19"/>
    </row>
    <row r="962">
      <c r="B962" s="19"/>
      <c r="C962" s="19"/>
      <c r="F962" s="19"/>
      <c r="G962" s="19"/>
    </row>
    <row r="963">
      <c r="B963" s="19"/>
      <c r="C963" s="19"/>
      <c r="F963" s="19"/>
      <c r="G963" s="19"/>
    </row>
    <row r="964">
      <c r="B964" s="19"/>
      <c r="C964" s="19"/>
      <c r="F964" s="19"/>
      <c r="G964" s="19"/>
    </row>
    <row r="965">
      <c r="B965" s="19"/>
      <c r="C965" s="19"/>
      <c r="F965" s="19"/>
      <c r="G965" s="19"/>
    </row>
    <row r="966">
      <c r="B966" s="19"/>
      <c r="C966" s="19"/>
      <c r="F966" s="19"/>
      <c r="G966" s="19"/>
    </row>
    <row r="967">
      <c r="B967" s="19"/>
      <c r="C967" s="19"/>
      <c r="F967" s="19"/>
      <c r="G967" s="19"/>
    </row>
    <row r="968">
      <c r="B968" s="19"/>
      <c r="C968" s="19"/>
      <c r="F968" s="19"/>
      <c r="G968" s="19"/>
    </row>
    <row r="969">
      <c r="B969" s="19"/>
      <c r="C969" s="19"/>
      <c r="F969" s="19"/>
      <c r="G969" s="19"/>
    </row>
    <row r="970">
      <c r="B970" s="19"/>
      <c r="C970" s="19"/>
      <c r="F970" s="19"/>
      <c r="G970" s="19"/>
    </row>
    <row r="971">
      <c r="B971" s="19"/>
      <c r="C971" s="19"/>
      <c r="F971" s="19"/>
      <c r="G971" s="19"/>
    </row>
    <row r="972">
      <c r="B972" s="19"/>
      <c r="C972" s="19"/>
      <c r="F972" s="19"/>
      <c r="G972" s="19"/>
    </row>
    <row r="973">
      <c r="B973" s="19"/>
      <c r="C973" s="19"/>
      <c r="F973" s="19"/>
      <c r="G973" s="19"/>
    </row>
    <row r="974">
      <c r="B974" s="19"/>
      <c r="C974" s="19"/>
      <c r="F974" s="19"/>
      <c r="G974" s="19"/>
    </row>
    <row r="975">
      <c r="B975" s="19"/>
      <c r="C975" s="19"/>
      <c r="F975" s="19"/>
      <c r="G975" s="19"/>
    </row>
    <row r="976">
      <c r="B976" s="19"/>
      <c r="C976" s="19"/>
      <c r="F976" s="19"/>
      <c r="G976" s="19"/>
    </row>
    <row r="977">
      <c r="B977" s="19"/>
      <c r="C977" s="19"/>
      <c r="F977" s="19"/>
      <c r="G977" s="19"/>
    </row>
    <row r="978">
      <c r="B978" s="19"/>
      <c r="C978" s="19"/>
      <c r="F978" s="19"/>
      <c r="G978" s="19"/>
    </row>
    <row r="979">
      <c r="B979" s="19"/>
      <c r="C979" s="19"/>
      <c r="F979" s="19"/>
      <c r="G979" s="19"/>
    </row>
    <row r="980">
      <c r="B980" s="19"/>
      <c r="C980" s="19"/>
      <c r="F980" s="19"/>
      <c r="G980" s="19"/>
    </row>
    <row r="981">
      <c r="B981" s="19"/>
      <c r="C981" s="19"/>
      <c r="F981" s="19"/>
      <c r="G981" s="19"/>
    </row>
    <row r="982">
      <c r="B982" s="19"/>
      <c r="C982" s="19"/>
      <c r="F982" s="19"/>
      <c r="G982" s="19"/>
    </row>
    <row r="983">
      <c r="B983" s="19"/>
      <c r="C983" s="19"/>
      <c r="F983" s="19"/>
      <c r="G983" s="19"/>
    </row>
    <row r="984">
      <c r="B984" s="19"/>
      <c r="C984" s="19"/>
      <c r="F984" s="19"/>
      <c r="G984" s="19"/>
    </row>
    <row r="985">
      <c r="B985" s="19"/>
      <c r="C985" s="19"/>
      <c r="F985" s="19"/>
      <c r="G985" s="19"/>
    </row>
    <row r="986">
      <c r="B986" s="19"/>
      <c r="C986" s="19"/>
      <c r="F986" s="19"/>
      <c r="G986" s="19"/>
    </row>
    <row r="987">
      <c r="B987" s="19"/>
      <c r="C987" s="19"/>
      <c r="F987" s="19"/>
      <c r="G987" s="19"/>
    </row>
    <row r="988">
      <c r="B988" s="19"/>
      <c r="C988" s="19"/>
      <c r="F988" s="19"/>
      <c r="G988" s="19"/>
    </row>
    <row r="989">
      <c r="B989" s="19"/>
      <c r="C989" s="19"/>
      <c r="F989" s="19"/>
      <c r="G989" s="19"/>
    </row>
    <row r="990">
      <c r="B990" s="19"/>
      <c r="C990" s="19"/>
      <c r="F990" s="19"/>
      <c r="G990" s="19"/>
    </row>
    <row r="991">
      <c r="B991" s="19"/>
      <c r="C991" s="19"/>
      <c r="F991" s="19"/>
      <c r="G991" s="19"/>
    </row>
    <row r="992">
      <c r="B992" s="19"/>
      <c r="C992" s="19"/>
      <c r="F992" s="19"/>
      <c r="G992" s="19"/>
    </row>
    <row r="993">
      <c r="B993" s="19"/>
      <c r="C993" s="19"/>
      <c r="F993" s="19"/>
      <c r="G993" s="19"/>
    </row>
    <row r="994">
      <c r="B994" s="19"/>
      <c r="C994" s="19"/>
      <c r="F994" s="19"/>
      <c r="G994" s="19"/>
    </row>
    <row r="995">
      <c r="B995" s="19"/>
      <c r="C995" s="19"/>
      <c r="F995" s="19"/>
      <c r="G995" s="19"/>
    </row>
    <row r="996">
      <c r="B996" s="19"/>
      <c r="C996" s="19"/>
      <c r="F996" s="19"/>
      <c r="G996" s="19"/>
    </row>
    <row r="997">
      <c r="B997" s="19"/>
      <c r="C997" s="19"/>
      <c r="F997" s="19"/>
      <c r="G997" s="19"/>
    </row>
    <row r="998">
      <c r="B998" s="19"/>
      <c r="C998" s="19"/>
      <c r="F998" s="19"/>
      <c r="G998" s="19"/>
    </row>
    <row r="999">
      <c r="B999" s="19"/>
      <c r="C999" s="19"/>
      <c r="F999" s="19"/>
      <c r="G999" s="19"/>
    </row>
    <row r="1000">
      <c r="B1000" s="19"/>
      <c r="C1000" s="19"/>
      <c r="F1000" s="19"/>
      <c r="G1000" s="19"/>
    </row>
    <row r="1001">
      <c r="B1001" s="19"/>
      <c r="C1001" s="19"/>
      <c r="F1001" s="19"/>
      <c r="G1001" s="19"/>
    </row>
    <row r="1002">
      <c r="B1002" s="19"/>
      <c r="C1002" s="19"/>
      <c r="F1002" s="19"/>
      <c r="G1002" s="19"/>
    </row>
  </sheetData>
  <autoFilter ref="$A$3:$G$1002"/>
  <dataValidations>
    <dataValidation type="list" allowBlank="1" showErrorMessage="1" sqref="B1">
      <formula1>Config!$L$2:$L$13</formula1>
    </dataValidation>
    <dataValidation type="list" allowBlank="1" showErrorMessage="1" sqref="F4:F1002">
      <formula1>Config!$A$2:$A$7</formula1>
    </dataValidation>
    <dataValidation type="list" allowBlank="1" showErrorMessage="1" sqref="C4:C1002">
      <formula1>Config!$H$1:$H$20</formula1>
    </dataValidation>
    <dataValidation type="list" allowBlank="1" showErrorMessage="1" sqref="B4:B1002">
      <formula1>Config!$G$1:$G$2</formula1>
    </dataValidation>
    <dataValidation type="list" allowBlank="1" showErrorMessage="1" sqref="G4:G1002">
      <formula1>Config!$B$2:$B$3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202</v>
      </c>
      <c r="B1" s="43" t="s">
        <v>18</v>
      </c>
    </row>
    <row r="4">
      <c r="A4" s="26" t="s">
        <v>0</v>
      </c>
      <c r="B4" s="26" t="s">
        <v>203</v>
      </c>
    </row>
  </sheetData>
  <dataValidations>
    <dataValidation type="list" allowBlank="1" showErrorMessage="1" sqref="B1">
      <formula1>Clientes!$B$2:$B$399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4" max="4" width="14.5"/>
  </cols>
  <sheetData>
    <row r="1">
      <c r="A1" s="39" t="s">
        <v>204</v>
      </c>
      <c r="B1" s="39" t="s">
        <v>10</v>
      </c>
      <c r="C1" s="40"/>
      <c r="D1" s="39" t="s">
        <v>3</v>
      </c>
      <c r="E1" s="39"/>
      <c r="F1" s="40"/>
      <c r="G1" s="44" t="s">
        <v>205</v>
      </c>
      <c r="H1" s="44" t="s">
        <v>206</v>
      </c>
      <c r="I1" s="45"/>
      <c r="J1" s="46" t="s">
        <v>207</v>
      </c>
      <c r="K1" s="47"/>
      <c r="L1" s="48" t="s">
        <v>208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4" t="s">
        <v>180</v>
      </c>
      <c r="B2" s="44" t="s">
        <v>186</v>
      </c>
      <c r="C2" s="49"/>
      <c r="D2" s="50" t="s">
        <v>209</v>
      </c>
      <c r="E2" s="44"/>
      <c r="F2" s="49"/>
      <c r="G2" s="44" t="s">
        <v>198</v>
      </c>
      <c r="H2" s="44" t="s">
        <v>199</v>
      </c>
      <c r="I2" s="51"/>
      <c r="J2" s="52" t="s">
        <v>210</v>
      </c>
      <c r="L2" s="26" t="s">
        <v>211</v>
      </c>
    </row>
    <row r="3">
      <c r="A3" s="44" t="s">
        <v>16</v>
      </c>
      <c r="B3" s="44" t="s">
        <v>187</v>
      </c>
      <c r="C3" s="49"/>
      <c r="D3" s="53" t="s">
        <v>24</v>
      </c>
      <c r="E3" s="44"/>
      <c r="F3" s="49"/>
      <c r="G3" s="49"/>
      <c r="H3" s="44" t="s">
        <v>72</v>
      </c>
      <c r="I3" s="51"/>
      <c r="J3" s="52" t="s">
        <v>85</v>
      </c>
      <c r="L3" s="26" t="s">
        <v>212</v>
      </c>
    </row>
    <row r="4">
      <c r="A4" s="44" t="s">
        <v>213</v>
      </c>
      <c r="B4" s="49"/>
      <c r="C4" s="49"/>
      <c r="D4" s="53" t="s">
        <v>21</v>
      </c>
      <c r="E4" s="44"/>
      <c r="F4" s="49"/>
      <c r="G4" s="49"/>
      <c r="H4" s="44" t="s">
        <v>214</v>
      </c>
      <c r="I4" s="51"/>
      <c r="J4" s="52" t="s">
        <v>215</v>
      </c>
      <c r="L4" s="26" t="s">
        <v>216</v>
      </c>
    </row>
    <row r="5">
      <c r="A5" s="44" t="s">
        <v>182</v>
      </c>
      <c r="B5" s="49"/>
      <c r="C5" s="49"/>
      <c r="D5" s="53" t="s">
        <v>19</v>
      </c>
      <c r="E5" s="44"/>
      <c r="F5" s="49"/>
      <c r="G5" s="49"/>
      <c r="H5" s="44" t="s">
        <v>217</v>
      </c>
      <c r="I5" s="51"/>
      <c r="J5" s="51"/>
      <c r="L5" s="26" t="s">
        <v>193</v>
      </c>
    </row>
    <row r="6">
      <c r="A6" s="44" t="s">
        <v>183</v>
      </c>
      <c r="B6" s="49"/>
      <c r="C6" s="49"/>
      <c r="D6" s="53" t="s">
        <v>15</v>
      </c>
      <c r="E6" s="44"/>
      <c r="F6" s="49"/>
      <c r="G6" s="49"/>
      <c r="H6" s="44" t="s">
        <v>218</v>
      </c>
      <c r="I6" s="51"/>
      <c r="J6" s="51"/>
      <c r="L6" s="26" t="s">
        <v>219</v>
      </c>
    </row>
    <row r="7">
      <c r="A7" s="44" t="s">
        <v>185</v>
      </c>
      <c r="B7" s="49"/>
      <c r="C7" s="49"/>
      <c r="D7" s="53" t="s">
        <v>220</v>
      </c>
      <c r="E7" s="51"/>
      <c r="F7" s="51"/>
      <c r="G7" s="49"/>
      <c r="H7" s="44" t="s">
        <v>221</v>
      </c>
      <c r="I7" s="51"/>
      <c r="J7" s="51"/>
      <c r="L7" s="26" t="s">
        <v>222</v>
      </c>
    </row>
    <row r="8">
      <c r="A8" s="49"/>
      <c r="B8" s="49"/>
      <c r="C8" s="49"/>
      <c r="D8" s="52" t="s">
        <v>27</v>
      </c>
      <c r="E8" s="51"/>
      <c r="F8" s="51"/>
      <c r="G8" s="49"/>
      <c r="H8" s="44" t="s">
        <v>223</v>
      </c>
      <c r="I8" s="51"/>
      <c r="J8" s="51"/>
      <c r="L8" s="26" t="s">
        <v>224</v>
      </c>
    </row>
    <row r="9">
      <c r="A9" s="49"/>
      <c r="B9" s="49"/>
      <c r="C9" s="49"/>
      <c r="D9" s="51"/>
      <c r="E9" s="51"/>
      <c r="F9" s="51"/>
      <c r="G9" s="49"/>
      <c r="H9" s="49"/>
      <c r="I9" s="51"/>
      <c r="J9" s="51"/>
      <c r="L9" s="26" t="s">
        <v>225</v>
      </c>
    </row>
    <row r="10">
      <c r="L10" s="26" t="s">
        <v>226</v>
      </c>
    </row>
    <row r="11">
      <c r="L11" s="26" t="s">
        <v>227</v>
      </c>
    </row>
    <row r="12">
      <c r="L12" s="26" t="s">
        <v>228</v>
      </c>
    </row>
    <row r="13">
      <c r="L13" s="26" t="s">
        <v>229</v>
      </c>
    </row>
  </sheetData>
  <drawing r:id="rId1"/>
</worksheet>
</file>